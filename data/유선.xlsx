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1880"/>
  </bookViews>
  <sheets>
    <sheet name="유선정책" sheetId="1" r:id="rId1"/>
  </sheets>
  <calcPr calcId="152511"/>
</workbook>
</file>

<file path=xl/calcChain.xml><?xml version="1.0" encoding="utf-8"?>
<calcChain xmlns="http://schemas.openxmlformats.org/spreadsheetml/2006/main">
  <c r="J58" i="1" l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22" i="1"/>
  <c r="J11" i="1"/>
  <c r="J12" i="1"/>
  <c r="J13" i="1"/>
  <c r="J14" i="1"/>
  <c r="J15" i="1"/>
  <c r="J16" i="1"/>
  <c r="J17" i="1"/>
  <c r="J18" i="1"/>
  <c r="J19" i="1"/>
  <c r="J20" i="1"/>
  <c r="J21" i="1"/>
  <c r="J10" i="1"/>
  <c r="J3" i="1"/>
  <c r="J4" i="1"/>
  <c r="J5" i="1"/>
  <c r="J6" i="1"/>
  <c r="J7" i="1"/>
  <c r="J8" i="1"/>
  <c r="J9" i="1"/>
  <c r="J2" i="1"/>
</calcChain>
</file>

<file path=xl/sharedStrings.xml><?xml version="1.0" encoding="utf-8"?>
<sst xmlns="http://schemas.openxmlformats.org/spreadsheetml/2006/main" count="817" uniqueCount="44">
  <si>
    <t>구분</t>
  </si>
  <si>
    <t>인터넷상품명</t>
  </si>
  <si>
    <t>TV상품명</t>
  </si>
  <si>
    <t>TV여부(Y/N)</t>
  </si>
  <si>
    <t>원스톱(Y/N)</t>
  </si>
  <si>
    <t>기가지니3(Y/N)</t>
  </si>
  <si>
    <t>기본정책(만원)</t>
  </si>
  <si>
    <t>결합정책(만원)</t>
  </si>
  <si>
    <t>정책금액(만원)</t>
  </si>
  <si>
    <t>N</t>
  </si>
  <si>
    <t>에센스</t>
  </si>
  <si>
    <t>베이직</t>
  </si>
  <si>
    <t>슬림플러스↓</t>
  </si>
  <si>
    <t>슬림</t>
  </si>
  <si>
    <t>Y</t>
    <phoneticPr fontId="2" type="noConversion"/>
  </si>
  <si>
    <t>Y</t>
    <phoneticPr fontId="2" type="noConversion"/>
  </si>
  <si>
    <t>Y</t>
    <phoneticPr fontId="2" type="noConversion"/>
  </si>
  <si>
    <t>I+T</t>
  </si>
  <si>
    <t>모든G 이상</t>
  </si>
  <si>
    <t>에센스/플러스</t>
  </si>
  <si>
    <t>라이트/베이직</t>
  </si>
  <si>
    <t>Y</t>
    <phoneticPr fontId="2" type="noConversion"/>
  </si>
  <si>
    <t>Y</t>
    <phoneticPr fontId="2" type="noConversion"/>
  </si>
  <si>
    <t>M+I</t>
  </si>
  <si>
    <t>Y</t>
    <phoneticPr fontId="2" type="noConversion"/>
  </si>
  <si>
    <t>U+I</t>
  </si>
  <si>
    <t>M+I+T</t>
  </si>
  <si>
    <t>모든G 이상(MNP)</t>
  </si>
  <si>
    <t>U+I+T</t>
  </si>
  <si>
    <t>인터넷 단품</t>
    <phoneticPr fontId="2" type="noConversion"/>
  </si>
  <si>
    <t>인터넷 단품</t>
    <phoneticPr fontId="2" type="noConversion"/>
  </si>
  <si>
    <t>인터넷 단품</t>
    <phoneticPr fontId="2" type="noConversion"/>
  </si>
  <si>
    <t>구분</t>
    <phoneticPr fontId="2" type="noConversion"/>
  </si>
  <si>
    <t>요금제</t>
    <phoneticPr fontId="2" type="noConversion"/>
  </si>
  <si>
    <t>가입 유형</t>
    <phoneticPr fontId="2" type="noConversion"/>
  </si>
  <si>
    <t>37K</t>
    <phoneticPr fontId="2" type="noConversion"/>
  </si>
  <si>
    <t>55K</t>
  </si>
  <si>
    <t>69K</t>
  </si>
  <si>
    <t>90K</t>
  </si>
  <si>
    <t>110K</t>
  </si>
  <si>
    <t>5G/LTE 요금제</t>
  </si>
  <si>
    <t>MNP</t>
    <phoneticPr fontId="2" type="noConversion"/>
  </si>
  <si>
    <t>무선구간</t>
    <phoneticPr fontId="2" type="noConversion"/>
  </si>
  <si>
    <t>KOS사은품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</si>
</sst>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3"/>
      <name val="KT Flow Thin"/>
      <family val="3"/>
      <charset val="129"/>
    </font>
    <font>
      <b/>
      <sz val="16"/>
      <color theme="1"/>
      <name val="맑은 고딕"/>
      <family val="2"/>
      <scheme val="minor"/>
    </font>
    <font>
      <b/>
      <sz val="16"/>
      <color theme="1"/>
      <name val="KT Flow Thin"/>
      <family val="3"/>
      <charset val="129"/>
    </font>
    <font>
      <b/>
      <sz val="16"/>
      <name val="KT Flow Thin"/>
      <family val="3"/>
      <charset val="129"/>
    </font>
    <font>
      <b/>
      <sz val="16"/>
      <color rgb="FF000000"/>
      <name val="KT Flow Thin"/>
      <family val="3"/>
      <charset val="129"/>
    </font>
    <font>
      <b/>
      <sz val="16"/>
      <color rgb="FFFF0000"/>
      <name val="KT Flow Thin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4" fillId="0" borderId="0" xfId="0" applyFont="1" applyProtection="1">
      <protection locked="0"/>
    </xf>
    <xf numFmtId="0" fontId="5" fillId="2" borderId="25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5" fillId="2" borderId="23" xfId="1" applyFont="1" applyFill="1" applyBorder="1" applyAlignment="1">
      <alignment horizontal="center" vertical="center" wrapText="1"/>
    </xf>
    <xf numFmtId="0" fontId="4" fillId="0" borderId="24" xfId="0" applyFont="1" applyBorder="1"/>
    <xf numFmtId="0" fontId="5" fillId="2" borderId="25" xfId="1" applyFont="1" applyFill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4" fillId="0" borderId="27" xfId="0" applyFont="1" applyBorder="1"/>
    <xf numFmtId="0" fontId="7" fillId="0" borderId="25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topLeftCell="A94" zoomScale="70" zoomScaleNormal="70" workbookViewId="0">
      <selection activeCell="F125" sqref="F125"/>
    </sheetView>
  </sheetViews>
  <sheetFormatPr defaultRowHeight="16.5"/>
  <cols>
    <col min="1" max="1" width="11" style="1" bestFit="1" customWidth="1"/>
    <col min="2" max="2" width="13" style="1" bestFit="1" customWidth="1"/>
    <col min="3" max="3" width="17.25" style="1" bestFit="1" customWidth="1"/>
    <col min="4" max="4" width="12.125" style="1" bestFit="1" customWidth="1"/>
    <col min="5" max="5" width="11.625" style="1" bestFit="1" customWidth="1"/>
    <col min="6" max="6" width="14.875" style="1" bestFit="1" customWidth="1"/>
    <col min="7" max="9" width="14.375" style="1" bestFit="1" customWidth="1"/>
    <col min="10" max="16384" width="9" style="1"/>
  </cols>
  <sheetData>
    <row r="1" spans="1:10" ht="17.25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43</v>
      </c>
      <c r="H1" s="12" t="s">
        <v>6</v>
      </c>
      <c r="I1" s="12" t="s">
        <v>7</v>
      </c>
      <c r="J1" s="13" t="s">
        <v>8</v>
      </c>
    </row>
    <row r="2" spans="1:10">
      <c r="A2" s="3" t="s">
        <v>29</v>
      </c>
      <c r="B2" s="4" t="s">
        <v>10</v>
      </c>
      <c r="C2" s="4"/>
      <c r="D2" s="4" t="s">
        <v>9</v>
      </c>
      <c r="E2" s="4" t="s">
        <v>9</v>
      </c>
      <c r="F2" s="4" t="s">
        <v>9</v>
      </c>
      <c r="G2" s="39">
        <v>5</v>
      </c>
      <c r="H2" s="17">
        <v>10</v>
      </c>
      <c r="I2" s="4">
        <v>0</v>
      </c>
      <c r="J2" s="5">
        <f>H2+I2+IF(E2="Y",7,0)+IF(AND(D2="Y",F2="Y"),IF(OR(A2="I",A2="M+I",A2="U+I"),4,6),0)</f>
        <v>10</v>
      </c>
    </row>
    <row r="3" spans="1:10">
      <c r="A3" s="6" t="s">
        <v>30</v>
      </c>
      <c r="B3" s="2" t="s">
        <v>11</v>
      </c>
      <c r="C3" s="2"/>
      <c r="D3" s="2" t="s">
        <v>9</v>
      </c>
      <c r="E3" s="2" t="s">
        <v>9</v>
      </c>
      <c r="F3" s="2" t="s">
        <v>9</v>
      </c>
      <c r="G3" s="39">
        <v>4</v>
      </c>
      <c r="H3" s="17">
        <v>6</v>
      </c>
      <c r="I3" s="2">
        <v>0</v>
      </c>
      <c r="J3" s="7">
        <f>H3+I3+IF(E3="Y",7,0)+IF(AND(D3="Y",F3="Y"),IF(OR(A3="I",A3="M+I",A3="U+I"),4,6),0)</f>
        <v>6</v>
      </c>
    </row>
    <row r="4" spans="1:10">
      <c r="A4" s="6" t="s">
        <v>31</v>
      </c>
      <c r="B4" s="2" t="s">
        <v>12</v>
      </c>
      <c r="C4" s="2"/>
      <c r="D4" s="2" t="s">
        <v>9</v>
      </c>
      <c r="E4" s="2" t="s">
        <v>9</v>
      </c>
      <c r="F4" s="2" t="s">
        <v>9</v>
      </c>
      <c r="G4" s="39">
        <v>4</v>
      </c>
      <c r="H4" s="18">
        <v>2</v>
      </c>
      <c r="I4" s="2">
        <v>0</v>
      </c>
      <c r="J4" s="7">
        <f>H4+I4+IF(E4="Y",7,0)+IF(AND(D4="Y",F4="Y"),IF(OR(A4="I",A4="M+I",A4="U+I"),4,6),0)</f>
        <v>2</v>
      </c>
    </row>
    <row r="5" spans="1:10" ht="17.25" thickBot="1">
      <c r="A5" s="6" t="s">
        <v>30</v>
      </c>
      <c r="B5" s="2" t="s">
        <v>13</v>
      </c>
      <c r="C5" s="2"/>
      <c r="D5" s="2" t="s">
        <v>9</v>
      </c>
      <c r="E5" s="2" t="s">
        <v>9</v>
      </c>
      <c r="F5" s="2" t="s">
        <v>9</v>
      </c>
      <c r="G5" s="39">
        <v>4</v>
      </c>
      <c r="H5" s="19">
        <v>1</v>
      </c>
      <c r="I5" s="2">
        <v>0</v>
      </c>
      <c r="J5" s="7">
        <f>H5+I5+IF(E5="Y",7,0)+IF(AND(D5="Y",F5="Y"),IF(OR(A5="I",A5="M+I",A5="U+I"),4,6),0)</f>
        <v>1</v>
      </c>
    </row>
    <row r="6" spans="1:10">
      <c r="A6" s="6" t="s">
        <v>29</v>
      </c>
      <c r="B6" s="2" t="s">
        <v>10</v>
      </c>
      <c r="C6" s="2"/>
      <c r="D6" s="2" t="s">
        <v>9</v>
      </c>
      <c r="E6" s="2" t="s">
        <v>14</v>
      </c>
      <c r="F6" s="2" t="s">
        <v>9</v>
      </c>
      <c r="G6" s="39">
        <v>5</v>
      </c>
      <c r="H6" s="17">
        <v>10</v>
      </c>
      <c r="I6" s="2">
        <v>0</v>
      </c>
      <c r="J6" s="7">
        <f>H6+I6+IF(E6="Y",7,0)+IF(AND(D6="Y",F6="Y"),IF(OR(A6="I",A6="M+I",A6="U+I"),4,6),0)</f>
        <v>17</v>
      </c>
    </row>
    <row r="7" spans="1:10">
      <c r="A7" s="6" t="s">
        <v>30</v>
      </c>
      <c r="B7" s="2" t="s">
        <v>11</v>
      </c>
      <c r="C7" s="2"/>
      <c r="D7" s="2" t="s">
        <v>9</v>
      </c>
      <c r="E7" s="2" t="s">
        <v>15</v>
      </c>
      <c r="F7" s="2" t="s">
        <v>9</v>
      </c>
      <c r="G7" s="39">
        <v>4</v>
      </c>
      <c r="H7" s="17">
        <v>6</v>
      </c>
      <c r="I7" s="2">
        <v>0</v>
      </c>
      <c r="J7" s="7">
        <f>H7+I7+IF(E7="Y",7,0)+IF(AND(D7="Y",F7="Y"),IF(OR(A7="I",A7="M+I",A7="U+I"),4,6),0)</f>
        <v>13</v>
      </c>
    </row>
    <row r="8" spans="1:10">
      <c r="A8" s="6" t="s">
        <v>31</v>
      </c>
      <c r="B8" s="2" t="s">
        <v>12</v>
      </c>
      <c r="C8" s="2"/>
      <c r="D8" s="2" t="s">
        <v>9</v>
      </c>
      <c r="E8" s="2" t="s">
        <v>16</v>
      </c>
      <c r="F8" s="2" t="s">
        <v>9</v>
      </c>
      <c r="G8" s="39">
        <v>4</v>
      </c>
      <c r="H8" s="18">
        <v>2</v>
      </c>
      <c r="I8" s="2">
        <v>0</v>
      </c>
      <c r="J8" s="7">
        <f>H8+I8+IF(E8="Y",7,0)+IF(AND(D8="Y",F8="Y"),IF(OR(A8="I",A8="M+I",A8="U+I"),4,6),0)</f>
        <v>9</v>
      </c>
    </row>
    <row r="9" spans="1:10" ht="17.25" thickBot="1">
      <c r="A9" s="8" t="s">
        <v>30</v>
      </c>
      <c r="B9" s="9" t="s">
        <v>13</v>
      </c>
      <c r="C9" s="9"/>
      <c r="D9" s="9" t="s">
        <v>9</v>
      </c>
      <c r="E9" s="9" t="s">
        <v>14</v>
      </c>
      <c r="F9" s="9" t="s">
        <v>9</v>
      </c>
      <c r="G9" s="39">
        <v>4</v>
      </c>
      <c r="H9" s="19">
        <v>1</v>
      </c>
      <c r="I9" s="9">
        <v>0</v>
      </c>
      <c r="J9" s="10">
        <f>H9+I9+IF(E9="Y",7,0)+IF(AND(D9="Y",F9="Y"),IF(OR(A9="I",A9="M+I",A9="U+I"),4,6),0)</f>
        <v>8</v>
      </c>
    </row>
    <row r="10" spans="1:10">
      <c r="A10" s="3" t="s">
        <v>23</v>
      </c>
      <c r="B10" s="4" t="s">
        <v>10</v>
      </c>
      <c r="C10" s="4"/>
      <c r="D10" s="4" t="s">
        <v>9</v>
      </c>
      <c r="E10" s="4" t="s">
        <v>9</v>
      </c>
      <c r="F10" s="4" t="s">
        <v>9</v>
      </c>
      <c r="G10" s="39">
        <v>5</v>
      </c>
      <c r="H10" s="17">
        <v>10</v>
      </c>
      <c r="I10" s="21">
        <v>14</v>
      </c>
      <c r="J10" s="5">
        <f>H10+I10+IF(E10="Y",7,0)+IF(AND(D10="Y",F10="Y"),IF(OR(A10="I",A10="M+I",A10="U+I"),4,6),0)</f>
        <v>24</v>
      </c>
    </row>
    <row r="11" spans="1:10">
      <c r="A11" s="6" t="s">
        <v>23</v>
      </c>
      <c r="B11" s="2" t="s">
        <v>11</v>
      </c>
      <c r="C11" s="2"/>
      <c r="D11" s="2" t="s">
        <v>9</v>
      </c>
      <c r="E11" s="2" t="s">
        <v>9</v>
      </c>
      <c r="F11" s="2" t="s">
        <v>9</v>
      </c>
      <c r="G11" s="39">
        <v>4</v>
      </c>
      <c r="H11" s="17">
        <v>6</v>
      </c>
      <c r="I11" s="18">
        <v>10</v>
      </c>
      <c r="J11" s="7">
        <f>H11+I11+IF(E11="Y",7,0)+IF(AND(D11="Y",F11="Y"),IF(OR(A11="I",A11="M+I",A11="U+I"),4,6),0)</f>
        <v>16</v>
      </c>
    </row>
    <row r="12" spans="1:10" ht="17.25" thickBot="1">
      <c r="A12" s="6" t="s">
        <v>23</v>
      </c>
      <c r="B12" s="2" t="s">
        <v>12</v>
      </c>
      <c r="C12" s="2"/>
      <c r="D12" s="2" t="s">
        <v>9</v>
      </c>
      <c r="E12" s="2" t="s">
        <v>9</v>
      </c>
      <c r="F12" s="2" t="s">
        <v>9</v>
      </c>
      <c r="G12" s="39">
        <v>4</v>
      </c>
      <c r="H12" s="18">
        <v>2</v>
      </c>
      <c r="I12" s="22">
        <v>8</v>
      </c>
      <c r="J12" s="7">
        <f>H12+I12+IF(E12="Y",7,0)+IF(AND(D12="Y",F12="Y"),IF(OR(A12="I",A12="M+I",A12="U+I"),4,6),0)</f>
        <v>10</v>
      </c>
    </row>
    <row r="13" spans="1:10">
      <c r="A13" s="6" t="s">
        <v>23</v>
      </c>
      <c r="B13" s="2" t="s">
        <v>10</v>
      </c>
      <c r="C13" s="2"/>
      <c r="D13" s="2" t="s">
        <v>9</v>
      </c>
      <c r="E13" s="2" t="s">
        <v>22</v>
      </c>
      <c r="F13" s="2" t="s">
        <v>9</v>
      </c>
      <c r="G13" s="39">
        <v>5</v>
      </c>
      <c r="H13" s="17">
        <v>10</v>
      </c>
      <c r="I13" s="21">
        <v>14</v>
      </c>
      <c r="J13" s="7">
        <f>H13+I13+IF(E13="Y",7,0)+IF(AND(D13="Y",F13="Y"),IF(OR(A13="I",A13="M+I",A13="U+I"),4,6),0)</f>
        <v>31</v>
      </c>
    </row>
    <row r="14" spans="1:10">
      <c r="A14" s="6" t="s">
        <v>23</v>
      </c>
      <c r="B14" s="2" t="s">
        <v>11</v>
      </c>
      <c r="C14" s="2"/>
      <c r="D14" s="2" t="s">
        <v>9</v>
      </c>
      <c r="E14" s="2" t="s">
        <v>22</v>
      </c>
      <c r="F14" s="2" t="s">
        <v>9</v>
      </c>
      <c r="G14" s="39">
        <v>4</v>
      </c>
      <c r="H14" s="17">
        <v>6</v>
      </c>
      <c r="I14" s="18">
        <v>10</v>
      </c>
      <c r="J14" s="7">
        <f>H14+I14+IF(E14="Y",7,0)+IF(AND(D14="Y",F14="Y"),IF(OR(A14="I",A14="M+I",A14="U+I"),4,6),0)</f>
        <v>23</v>
      </c>
    </row>
    <row r="15" spans="1:10" ht="17.25" thickBot="1">
      <c r="A15" s="8" t="s">
        <v>23</v>
      </c>
      <c r="B15" s="9" t="s">
        <v>12</v>
      </c>
      <c r="C15" s="9"/>
      <c r="D15" s="9" t="s">
        <v>9</v>
      </c>
      <c r="E15" s="9" t="s">
        <v>24</v>
      </c>
      <c r="F15" s="9" t="s">
        <v>9</v>
      </c>
      <c r="G15" s="39">
        <v>4</v>
      </c>
      <c r="H15" s="18">
        <v>2</v>
      </c>
      <c r="I15" s="22">
        <v>8</v>
      </c>
      <c r="J15" s="10">
        <f>H15+I15+IF(E15="Y",7,0)+IF(AND(D15="Y",F15="Y"),IF(OR(A15="I",A15="M+I",A15="U+I"),4,6),0)</f>
        <v>17</v>
      </c>
    </row>
    <row r="16" spans="1:10">
      <c r="A16" s="3" t="s">
        <v>25</v>
      </c>
      <c r="B16" s="4" t="s">
        <v>10</v>
      </c>
      <c r="C16" s="4"/>
      <c r="D16" s="4" t="s">
        <v>9</v>
      </c>
      <c r="E16" s="4" t="s">
        <v>22</v>
      </c>
      <c r="F16" s="4" t="s">
        <v>9</v>
      </c>
      <c r="G16" s="39">
        <v>5</v>
      </c>
      <c r="H16" s="17">
        <v>10</v>
      </c>
      <c r="I16" s="23">
        <v>14</v>
      </c>
      <c r="J16" s="5">
        <f>H16+I16+IF(E16="Y",7,0)+IF(AND(D16="Y",F16="Y"),IF(OR(A16="I",A16="M+I",A16="U+I"),4,6),0)</f>
        <v>31</v>
      </c>
    </row>
    <row r="17" spans="1:10">
      <c r="A17" s="6" t="s">
        <v>25</v>
      </c>
      <c r="B17" s="2" t="s">
        <v>11</v>
      </c>
      <c r="C17" s="2"/>
      <c r="D17" s="2" t="s">
        <v>9</v>
      </c>
      <c r="E17" s="2" t="s">
        <v>22</v>
      </c>
      <c r="F17" s="2" t="s">
        <v>9</v>
      </c>
      <c r="G17" s="39">
        <v>4</v>
      </c>
      <c r="H17" s="17">
        <v>6</v>
      </c>
      <c r="I17" s="18">
        <v>10</v>
      </c>
      <c r="J17" s="7">
        <f>H17+I17+IF(E17="Y",7,0)+IF(AND(D17="Y",F17="Y"),IF(OR(A17="I",A17="M+I",A17="U+I"),4,6),0)</f>
        <v>23</v>
      </c>
    </row>
    <row r="18" spans="1:10">
      <c r="A18" s="6" t="s">
        <v>25</v>
      </c>
      <c r="B18" s="2" t="s">
        <v>12</v>
      </c>
      <c r="C18" s="2"/>
      <c r="D18" s="2" t="s">
        <v>9</v>
      </c>
      <c r="E18" s="2" t="s">
        <v>24</v>
      </c>
      <c r="F18" s="2" t="s">
        <v>9</v>
      </c>
      <c r="G18" s="39">
        <v>4</v>
      </c>
      <c r="H18" s="18">
        <v>2</v>
      </c>
      <c r="I18" s="20">
        <v>8</v>
      </c>
      <c r="J18" s="7">
        <f>H18+I18+IF(E18="Y",7,0)+IF(AND(D18="Y",F18="Y"),IF(OR(A18="I",A18="M+I",A18="U+I"),4,6),0)</f>
        <v>17</v>
      </c>
    </row>
    <row r="19" spans="1:10">
      <c r="A19" s="6" t="s">
        <v>25</v>
      </c>
      <c r="B19" s="2" t="s">
        <v>10</v>
      </c>
      <c r="C19" s="2"/>
      <c r="D19" s="2" t="s">
        <v>9</v>
      </c>
      <c r="E19" s="2" t="s">
        <v>22</v>
      </c>
      <c r="F19" s="2" t="s">
        <v>9</v>
      </c>
      <c r="G19" s="39">
        <v>5</v>
      </c>
      <c r="H19" s="17">
        <v>10</v>
      </c>
      <c r="I19" s="23">
        <v>14</v>
      </c>
      <c r="J19" s="7">
        <f>H19+I19+IF(E19="Y",7,0)+IF(AND(D19="Y",F19="Y"),IF(OR(A19="I",A19="M+I",A19="U+I"),4,6),0)</f>
        <v>31</v>
      </c>
    </row>
    <row r="20" spans="1:10">
      <c r="A20" s="6" t="s">
        <v>25</v>
      </c>
      <c r="B20" s="2" t="s">
        <v>11</v>
      </c>
      <c r="C20" s="2"/>
      <c r="D20" s="2" t="s">
        <v>9</v>
      </c>
      <c r="E20" s="2" t="s">
        <v>22</v>
      </c>
      <c r="F20" s="2" t="s">
        <v>9</v>
      </c>
      <c r="G20" s="39">
        <v>4</v>
      </c>
      <c r="H20" s="17">
        <v>6</v>
      </c>
      <c r="I20" s="18">
        <v>10</v>
      </c>
      <c r="J20" s="7">
        <f>H20+I20+IF(E20="Y",7,0)+IF(AND(D20="Y",F20="Y"),IF(OR(A20="I",A20="M+I",A20="U+I"),4,6),0)</f>
        <v>23</v>
      </c>
    </row>
    <row r="21" spans="1:10" ht="17.25" thickBot="1">
      <c r="A21" s="8" t="s">
        <v>25</v>
      </c>
      <c r="B21" s="9" t="s">
        <v>12</v>
      </c>
      <c r="C21" s="9"/>
      <c r="D21" s="9" t="s">
        <v>9</v>
      </c>
      <c r="E21" s="9" t="s">
        <v>24</v>
      </c>
      <c r="F21" s="9" t="s">
        <v>9</v>
      </c>
      <c r="G21" s="39">
        <v>4</v>
      </c>
      <c r="H21" s="18">
        <v>2</v>
      </c>
      <c r="I21" s="20">
        <v>8</v>
      </c>
      <c r="J21" s="10">
        <f>H21+I21+IF(E21="Y",7,0)+IF(AND(D21="Y",F21="Y"),IF(OR(A21="I",A21="M+I",A21="U+I"),4,6),0)</f>
        <v>17</v>
      </c>
    </row>
    <row r="22" spans="1:10">
      <c r="A22" s="3" t="s">
        <v>17</v>
      </c>
      <c r="B22" s="4" t="s">
        <v>10</v>
      </c>
      <c r="C22" s="4" t="s">
        <v>18</v>
      </c>
      <c r="D22" s="4" t="s">
        <v>21</v>
      </c>
      <c r="E22" s="4" t="s">
        <v>9</v>
      </c>
      <c r="F22" s="4" t="s">
        <v>9</v>
      </c>
      <c r="G22" s="18">
        <v>10</v>
      </c>
      <c r="H22" s="4">
        <v>16</v>
      </c>
      <c r="I22" s="18">
        <v>13</v>
      </c>
      <c r="J22" s="5">
        <f>H22+I22+IF(E22="Y",7,0)+IF(AND(D22="Y",F22="Y"),IF(OR(A22="I",A22="M+I",A22="U+I"),4,5),0)</f>
        <v>29</v>
      </c>
    </row>
    <row r="23" spans="1:10">
      <c r="A23" s="6" t="s">
        <v>17</v>
      </c>
      <c r="B23" s="2" t="s">
        <v>10</v>
      </c>
      <c r="C23" s="2" t="s">
        <v>19</v>
      </c>
      <c r="D23" s="2" t="s">
        <v>21</v>
      </c>
      <c r="E23" s="2" t="s">
        <v>9</v>
      </c>
      <c r="F23" s="2" t="s">
        <v>9</v>
      </c>
      <c r="G23" s="18">
        <v>10</v>
      </c>
      <c r="H23" s="2">
        <v>12</v>
      </c>
      <c r="I23" s="18">
        <v>10</v>
      </c>
      <c r="J23" s="7">
        <f>H23+I23+IF(E23="Y",7,0)+IF(AND(D23="Y",F23="Y"),IF(OR(A23="I",A23="M+I",A23="U+I"),4,5),0)</f>
        <v>22</v>
      </c>
    </row>
    <row r="24" spans="1:10">
      <c r="A24" s="6" t="s">
        <v>17</v>
      </c>
      <c r="B24" s="2" t="s">
        <v>10</v>
      </c>
      <c r="C24" s="2" t="s">
        <v>20</v>
      </c>
      <c r="D24" s="2" t="s">
        <v>21</v>
      </c>
      <c r="E24" s="2" t="s">
        <v>9</v>
      </c>
      <c r="F24" s="2" t="s">
        <v>9</v>
      </c>
      <c r="G24" s="18">
        <v>9</v>
      </c>
      <c r="H24" s="2">
        <v>11</v>
      </c>
      <c r="I24" s="18">
        <v>10</v>
      </c>
      <c r="J24" s="7">
        <f>H24+I24+IF(E24="Y",7,0)+IF(AND(D24="Y",F24="Y"),IF(OR(A24="I",A24="M+I",A24="U+I"),4,5),0)</f>
        <v>21</v>
      </c>
    </row>
    <row r="25" spans="1:10">
      <c r="A25" s="6" t="s">
        <v>17</v>
      </c>
      <c r="B25" s="2" t="s">
        <v>11</v>
      </c>
      <c r="C25" s="2" t="s">
        <v>18</v>
      </c>
      <c r="D25" s="2" t="s">
        <v>21</v>
      </c>
      <c r="E25" s="2" t="s">
        <v>9</v>
      </c>
      <c r="F25" s="2" t="s">
        <v>9</v>
      </c>
      <c r="G25" s="18">
        <v>7</v>
      </c>
      <c r="H25" s="2">
        <v>12</v>
      </c>
      <c r="I25" s="18">
        <v>7</v>
      </c>
      <c r="J25" s="7">
        <f>H25+I25+IF(E25="Y",7,0)+IF(AND(D25="Y",F25="Y"),IF(OR(A25="I",A25="M+I",A25="U+I"),4,5),0)</f>
        <v>19</v>
      </c>
    </row>
    <row r="26" spans="1:10">
      <c r="A26" s="6" t="s">
        <v>17</v>
      </c>
      <c r="B26" s="2" t="s">
        <v>11</v>
      </c>
      <c r="C26" s="2" t="s">
        <v>19</v>
      </c>
      <c r="D26" s="2" t="s">
        <v>21</v>
      </c>
      <c r="E26" s="2" t="s">
        <v>9</v>
      </c>
      <c r="F26" s="2" t="s">
        <v>9</v>
      </c>
      <c r="G26" s="18">
        <v>7</v>
      </c>
      <c r="H26" s="2">
        <v>8</v>
      </c>
      <c r="I26" s="18">
        <v>4</v>
      </c>
      <c r="J26" s="7">
        <f>H26+I26+IF(E26="Y",7,0)+IF(AND(D26="Y",F26="Y"),IF(OR(A26="I",A26="M+I",A26="U+I"),4,5),0)</f>
        <v>12</v>
      </c>
    </row>
    <row r="27" spans="1:10">
      <c r="A27" s="6" t="s">
        <v>17</v>
      </c>
      <c r="B27" s="2" t="s">
        <v>11</v>
      </c>
      <c r="C27" s="2" t="s">
        <v>20</v>
      </c>
      <c r="D27" s="2" t="s">
        <v>21</v>
      </c>
      <c r="E27" s="2" t="s">
        <v>9</v>
      </c>
      <c r="F27" s="2" t="s">
        <v>9</v>
      </c>
      <c r="G27" s="18">
        <v>6</v>
      </c>
      <c r="H27" s="2">
        <v>7</v>
      </c>
      <c r="I27" s="18">
        <v>4</v>
      </c>
      <c r="J27" s="7">
        <f>H27+I27+IF(E27="Y",7,0)+IF(AND(D27="Y",F27="Y"),IF(OR(A27="I",A27="M+I",A27="U+I"),4,5),0)</f>
        <v>11</v>
      </c>
    </row>
    <row r="28" spans="1:10">
      <c r="A28" s="6" t="s">
        <v>17</v>
      </c>
      <c r="B28" s="2" t="s">
        <v>12</v>
      </c>
      <c r="C28" s="2" t="s">
        <v>18</v>
      </c>
      <c r="D28" s="2" t="s">
        <v>21</v>
      </c>
      <c r="E28" s="2" t="s">
        <v>9</v>
      </c>
      <c r="F28" s="2" t="s">
        <v>9</v>
      </c>
      <c r="G28" s="18">
        <v>7</v>
      </c>
      <c r="H28" s="2">
        <v>8</v>
      </c>
      <c r="I28" s="18">
        <v>7</v>
      </c>
      <c r="J28" s="7">
        <f>H28+I28+IF(E28="Y",7,0)+IF(AND(D28="Y",F28="Y"),IF(OR(A28="I",A28="M+I",A28="U+I"),4,5),0)</f>
        <v>15</v>
      </c>
    </row>
    <row r="29" spans="1:10">
      <c r="A29" s="6" t="s">
        <v>17</v>
      </c>
      <c r="B29" s="2" t="s">
        <v>12</v>
      </c>
      <c r="C29" s="2" t="s">
        <v>19</v>
      </c>
      <c r="D29" s="2" t="s">
        <v>21</v>
      </c>
      <c r="E29" s="2" t="s">
        <v>9</v>
      </c>
      <c r="F29" s="2" t="s">
        <v>9</v>
      </c>
      <c r="G29" s="18">
        <v>7</v>
      </c>
      <c r="H29" s="2">
        <v>4</v>
      </c>
      <c r="I29" s="18">
        <v>4</v>
      </c>
      <c r="J29" s="7">
        <f>H29+I29+IF(E29="Y",7,0)+IF(AND(D29="Y",F29="Y"),IF(OR(A29="I",A29="M+I",A29="U+I"),4,5),0)</f>
        <v>8</v>
      </c>
    </row>
    <row r="30" spans="1:10" ht="17.25" thickBot="1">
      <c r="A30" s="6" t="s">
        <v>17</v>
      </c>
      <c r="B30" s="2" t="s">
        <v>12</v>
      </c>
      <c r="C30" s="2" t="s">
        <v>20</v>
      </c>
      <c r="D30" s="2" t="s">
        <v>21</v>
      </c>
      <c r="E30" s="2" t="s">
        <v>9</v>
      </c>
      <c r="F30" s="2" t="s">
        <v>9</v>
      </c>
      <c r="G30" s="20">
        <v>6</v>
      </c>
      <c r="H30" s="2">
        <v>3</v>
      </c>
      <c r="I30" s="20">
        <v>4</v>
      </c>
      <c r="J30" s="7">
        <f>H30+I30+IF(E30="Y",7,0)+IF(AND(D30="Y",F30="Y"),IF(OR(A30="I",A30="M+I",A30="U+I"),4,5),0)</f>
        <v>7</v>
      </c>
    </row>
    <row r="31" spans="1:10">
      <c r="A31" s="6" t="s">
        <v>17</v>
      </c>
      <c r="B31" s="2" t="s">
        <v>10</v>
      </c>
      <c r="C31" s="2" t="s">
        <v>18</v>
      </c>
      <c r="D31" s="2" t="s">
        <v>21</v>
      </c>
      <c r="E31" s="2" t="s">
        <v>22</v>
      </c>
      <c r="F31" s="2" t="s">
        <v>9</v>
      </c>
      <c r="G31" s="18">
        <v>10</v>
      </c>
      <c r="H31" s="4">
        <v>16</v>
      </c>
      <c r="I31" s="18">
        <v>13</v>
      </c>
      <c r="J31" s="7">
        <f>H31+I31+IF(E31="Y",7,0)+IF(AND(D31="Y",F31="Y"),IF(OR(A31="I",A31="M+I",A31="U+I"),4,5),0)</f>
        <v>36</v>
      </c>
    </row>
    <row r="32" spans="1:10">
      <c r="A32" s="6" t="s">
        <v>17</v>
      </c>
      <c r="B32" s="2" t="s">
        <v>10</v>
      </c>
      <c r="C32" s="2" t="s">
        <v>19</v>
      </c>
      <c r="D32" s="2" t="s">
        <v>21</v>
      </c>
      <c r="E32" s="2" t="s">
        <v>22</v>
      </c>
      <c r="F32" s="2" t="s">
        <v>9</v>
      </c>
      <c r="G32" s="18">
        <v>10</v>
      </c>
      <c r="H32" s="2">
        <v>12</v>
      </c>
      <c r="I32" s="18">
        <v>10</v>
      </c>
      <c r="J32" s="7">
        <f>H32+I32+IF(E32="Y",7,0)+IF(AND(D32="Y",F32="Y"),IF(OR(A32="I",A32="M+I",A32="U+I"),4,5),0)</f>
        <v>29</v>
      </c>
    </row>
    <row r="33" spans="1:10">
      <c r="A33" s="6" t="s">
        <v>17</v>
      </c>
      <c r="B33" s="2" t="s">
        <v>10</v>
      </c>
      <c r="C33" s="2" t="s">
        <v>20</v>
      </c>
      <c r="D33" s="2" t="s">
        <v>21</v>
      </c>
      <c r="E33" s="2" t="s">
        <v>22</v>
      </c>
      <c r="F33" s="2" t="s">
        <v>9</v>
      </c>
      <c r="G33" s="18">
        <v>9</v>
      </c>
      <c r="H33" s="2">
        <v>11</v>
      </c>
      <c r="I33" s="18">
        <v>10</v>
      </c>
      <c r="J33" s="7">
        <f>H33+I33+IF(E33="Y",7,0)+IF(AND(D33="Y",F33="Y"),IF(OR(A33="I",A33="M+I",A33="U+I"),4,5),0)</f>
        <v>28</v>
      </c>
    </row>
    <row r="34" spans="1:10">
      <c r="A34" s="6" t="s">
        <v>17</v>
      </c>
      <c r="B34" s="2" t="s">
        <v>11</v>
      </c>
      <c r="C34" s="2" t="s">
        <v>18</v>
      </c>
      <c r="D34" s="2" t="s">
        <v>21</v>
      </c>
      <c r="E34" s="2" t="s">
        <v>22</v>
      </c>
      <c r="F34" s="2" t="s">
        <v>9</v>
      </c>
      <c r="G34" s="18">
        <v>7</v>
      </c>
      <c r="H34" s="2">
        <v>12</v>
      </c>
      <c r="I34" s="18">
        <v>7</v>
      </c>
      <c r="J34" s="7">
        <f>H34+I34+IF(E34="Y",7,0)+IF(AND(D34="Y",F34="Y"),IF(OR(A34="I",A34="M+I",A34="U+I"),4,5),0)</f>
        <v>26</v>
      </c>
    </row>
    <row r="35" spans="1:10">
      <c r="A35" s="6" t="s">
        <v>17</v>
      </c>
      <c r="B35" s="2" t="s">
        <v>11</v>
      </c>
      <c r="C35" s="2" t="s">
        <v>19</v>
      </c>
      <c r="D35" s="2" t="s">
        <v>21</v>
      </c>
      <c r="E35" s="2" t="s">
        <v>22</v>
      </c>
      <c r="F35" s="2" t="s">
        <v>9</v>
      </c>
      <c r="G35" s="18">
        <v>7</v>
      </c>
      <c r="H35" s="2">
        <v>8</v>
      </c>
      <c r="I35" s="18">
        <v>4</v>
      </c>
      <c r="J35" s="7">
        <f>H35+I35+IF(E35="Y",7,0)+IF(AND(D35="Y",F35="Y"),IF(OR(A35="I",A35="M+I",A35="U+I"),4,5),0)</f>
        <v>19</v>
      </c>
    </row>
    <row r="36" spans="1:10">
      <c r="A36" s="6" t="s">
        <v>17</v>
      </c>
      <c r="B36" s="2" t="s">
        <v>11</v>
      </c>
      <c r="C36" s="2" t="s">
        <v>20</v>
      </c>
      <c r="D36" s="2" t="s">
        <v>21</v>
      </c>
      <c r="E36" s="2" t="s">
        <v>22</v>
      </c>
      <c r="F36" s="2" t="s">
        <v>9</v>
      </c>
      <c r="G36" s="18">
        <v>6</v>
      </c>
      <c r="H36" s="2">
        <v>7</v>
      </c>
      <c r="I36" s="18">
        <v>4</v>
      </c>
      <c r="J36" s="7">
        <f>H36+I36+IF(E36="Y",7,0)+IF(AND(D36="Y",F36="Y"),IF(OR(A36="I",A36="M+I",A36="U+I"),4,5),0)</f>
        <v>18</v>
      </c>
    </row>
    <row r="37" spans="1:10">
      <c r="A37" s="6" t="s">
        <v>17</v>
      </c>
      <c r="B37" s="2" t="s">
        <v>12</v>
      </c>
      <c r="C37" s="2" t="s">
        <v>18</v>
      </c>
      <c r="D37" s="2" t="s">
        <v>21</v>
      </c>
      <c r="E37" s="2" t="s">
        <v>22</v>
      </c>
      <c r="F37" s="2" t="s">
        <v>9</v>
      </c>
      <c r="G37" s="18">
        <v>7</v>
      </c>
      <c r="H37" s="2">
        <v>8</v>
      </c>
      <c r="I37" s="18">
        <v>7</v>
      </c>
      <c r="J37" s="7">
        <f>H37+I37+IF(E37="Y",7,0)+IF(AND(D37="Y",F37="Y"),IF(OR(A37="I",A37="M+I",A37="U+I"),4,5),0)</f>
        <v>22</v>
      </c>
    </row>
    <row r="38" spans="1:10">
      <c r="A38" s="6" t="s">
        <v>17</v>
      </c>
      <c r="B38" s="2" t="s">
        <v>12</v>
      </c>
      <c r="C38" s="2" t="s">
        <v>19</v>
      </c>
      <c r="D38" s="2" t="s">
        <v>21</v>
      </c>
      <c r="E38" s="2" t="s">
        <v>22</v>
      </c>
      <c r="F38" s="2" t="s">
        <v>9</v>
      </c>
      <c r="G38" s="18">
        <v>7</v>
      </c>
      <c r="H38" s="2">
        <v>4</v>
      </c>
      <c r="I38" s="18">
        <v>4</v>
      </c>
      <c r="J38" s="7">
        <f>H38+I38+IF(E38="Y",7,0)+IF(AND(D38="Y",F38="Y"),IF(OR(A38="I",A38="M+I",A38="U+I"),4,5),0)</f>
        <v>15</v>
      </c>
    </row>
    <row r="39" spans="1:10" ht="17.25" thickBot="1">
      <c r="A39" s="6" t="s">
        <v>17</v>
      </c>
      <c r="B39" s="2" t="s">
        <v>12</v>
      </c>
      <c r="C39" s="2" t="s">
        <v>20</v>
      </c>
      <c r="D39" s="2" t="s">
        <v>21</v>
      </c>
      <c r="E39" s="2" t="s">
        <v>22</v>
      </c>
      <c r="F39" s="2" t="s">
        <v>9</v>
      </c>
      <c r="G39" s="20">
        <v>6</v>
      </c>
      <c r="H39" s="2">
        <v>3</v>
      </c>
      <c r="I39" s="20">
        <v>4</v>
      </c>
      <c r="J39" s="7">
        <f>H39+I39+IF(E39="Y",7,0)+IF(AND(D39="Y",F39="Y"),IF(OR(A39="I",A39="M+I",A39="U+I"),4,5),0)</f>
        <v>14</v>
      </c>
    </row>
    <row r="40" spans="1:10">
      <c r="A40" s="6" t="s">
        <v>17</v>
      </c>
      <c r="B40" s="2" t="s">
        <v>10</v>
      </c>
      <c r="C40" s="2" t="s">
        <v>18</v>
      </c>
      <c r="D40" s="2" t="s">
        <v>21</v>
      </c>
      <c r="E40" s="2" t="s">
        <v>22</v>
      </c>
      <c r="F40" s="2" t="s">
        <v>22</v>
      </c>
      <c r="G40" s="18">
        <v>10</v>
      </c>
      <c r="H40" s="4">
        <v>16</v>
      </c>
      <c r="I40" s="18">
        <v>13</v>
      </c>
      <c r="J40" s="7">
        <f>H40+I40+IF(E40="Y",7,0)+IF(AND(D40="Y",F40="Y"),IF(OR(A40="I",A40="M+I",A40="U+I"),4,5),0)</f>
        <v>41</v>
      </c>
    </row>
    <row r="41" spans="1:10">
      <c r="A41" s="6" t="s">
        <v>17</v>
      </c>
      <c r="B41" s="2" t="s">
        <v>10</v>
      </c>
      <c r="C41" s="2" t="s">
        <v>19</v>
      </c>
      <c r="D41" s="2" t="s">
        <v>21</v>
      </c>
      <c r="E41" s="2" t="s">
        <v>22</v>
      </c>
      <c r="F41" s="2" t="s">
        <v>22</v>
      </c>
      <c r="G41" s="18">
        <v>10</v>
      </c>
      <c r="H41" s="2">
        <v>12</v>
      </c>
      <c r="I41" s="18">
        <v>10</v>
      </c>
      <c r="J41" s="7">
        <f>H41+I41+IF(E41="Y",7,0)+IF(AND(D41="Y",F41="Y"),IF(OR(A41="I",A41="M+I",A41="U+I"),4,5),0)</f>
        <v>34</v>
      </c>
    </row>
    <row r="42" spans="1:10">
      <c r="A42" s="6" t="s">
        <v>17</v>
      </c>
      <c r="B42" s="2" t="s">
        <v>10</v>
      </c>
      <c r="C42" s="2" t="s">
        <v>20</v>
      </c>
      <c r="D42" s="2" t="s">
        <v>21</v>
      </c>
      <c r="E42" s="2" t="s">
        <v>22</v>
      </c>
      <c r="F42" s="2" t="s">
        <v>22</v>
      </c>
      <c r="G42" s="18">
        <v>9</v>
      </c>
      <c r="H42" s="2">
        <v>11</v>
      </c>
      <c r="I42" s="18">
        <v>10</v>
      </c>
      <c r="J42" s="7">
        <f>H42+I42+IF(E42="Y",7,0)+IF(AND(D42="Y",F42="Y"),IF(OR(A42="I",A42="M+I",A42="U+I"),4,5),0)</f>
        <v>33</v>
      </c>
    </row>
    <row r="43" spans="1:10">
      <c r="A43" s="6" t="s">
        <v>17</v>
      </c>
      <c r="B43" s="2" t="s">
        <v>11</v>
      </c>
      <c r="C43" s="2" t="s">
        <v>18</v>
      </c>
      <c r="D43" s="2" t="s">
        <v>21</v>
      </c>
      <c r="E43" s="2" t="s">
        <v>22</v>
      </c>
      <c r="F43" s="2" t="s">
        <v>22</v>
      </c>
      <c r="G43" s="18">
        <v>7</v>
      </c>
      <c r="H43" s="2">
        <v>12</v>
      </c>
      <c r="I43" s="18">
        <v>7</v>
      </c>
      <c r="J43" s="7">
        <f>H43+I43+IF(E43="Y",7,0)+IF(AND(D43="Y",F43="Y"),IF(OR(A43="I",A43="M+I",A43="U+I"),4,5),0)</f>
        <v>31</v>
      </c>
    </row>
    <row r="44" spans="1:10">
      <c r="A44" s="6" t="s">
        <v>17</v>
      </c>
      <c r="B44" s="2" t="s">
        <v>11</v>
      </c>
      <c r="C44" s="2" t="s">
        <v>19</v>
      </c>
      <c r="D44" s="2" t="s">
        <v>21</v>
      </c>
      <c r="E44" s="2" t="s">
        <v>22</v>
      </c>
      <c r="F44" s="2" t="s">
        <v>22</v>
      </c>
      <c r="G44" s="18">
        <v>7</v>
      </c>
      <c r="H44" s="2">
        <v>8</v>
      </c>
      <c r="I44" s="18">
        <v>4</v>
      </c>
      <c r="J44" s="7">
        <f>H44+I44+IF(E44="Y",7,0)+IF(AND(D44="Y",F44="Y"),IF(OR(A44="I",A44="M+I",A44="U+I"),4,5),0)</f>
        <v>24</v>
      </c>
    </row>
    <row r="45" spans="1:10">
      <c r="A45" s="6" t="s">
        <v>17</v>
      </c>
      <c r="B45" s="2" t="s">
        <v>11</v>
      </c>
      <c r="C45" s="2" t="s">
        <v>20</v>
      </c>
      <c r="D45" s="2" t="s">
        <v>21</v>
      </c>
      <c r="E45" s="2" t="s">
        <v>22</v>
      </c>
      <c r="F45" s="2" t="s">
        <v>22</v>
      </c>
      <c r="G45" s="18">
        <v>6</v>
      </c>
      <c r="H45" s="2">
        <v>7</v>
      </c>
      <c r="I45" s="18">
        <v>4</v>
      </c>
      <c r="J45" s="7">
        <f>H45+I45+IF(E45="Y",7,0)+IF(AND(D45="Y",F45="Y"),IF(OR(A45="I",A45="M+I",A45="U+I"),4,5),0)</f>
        <v>23</v>
      </c>
    </row>
    <row r="46" spans="1:10">
      <c r="A46" s="6" t="s">
        <v>17</v>
      </c>
      <c r="B46" s="2" t="s">
        <v>12</v>
      </c>
      <c r="C46" s="2" t="s">
        <v>18</v>
      </c>
      <c r="D46" s="2" t="s">
        <v>21</v>
      </c>
      <c r="E46" s="2" t="s">
        <v>22</v>
      </c>
      <c r="F46" s="2" t="s">
        <v>22</v>
      </c>
      <c r="G46" s="18">
        <v>7</v>
      </c>
      <c r="H46" s="2">
        <v>8</v>
      </c>
      <c r="I46" s="18">
        <v>7</v>
      </c>
      <c r="J46" s="7">
        <f>H46+I46+IF(E46="Y",7,0)+IF(AND(D46="Y",F46="Y"),IF(OR(A46="I",A46="M+I",A46="U+I"),4,5),0)</f>
        <v>27</v>
      </c>
    </row>
    <row r="47" spans="1:10">
      <c r="A47" s="6" t="s">
        <v>17</v>
      </c>
      <c r="B47" s="2" t="s">
        <v>12</v>
      </c>
      <c r="C47" s="2" t="s">
        <v>19</v>
      </c>
      <c r="D47" s="2" t="s">
        <v>21</v>
      </c>
      <c r="E47" s="2" t="s">
        <v>22</v>
      </c>
      <c r="F47" s="2" t="s">
        <v>22</v>
      </c>
      <c r="G47" s="18">
        <v>7</v>
      </c>
      <c r="H47" s="2">
        <v>4</v>
      </c>
      <c r="I47" s="18">
        <v>4</v>
      </c>
      <c r="J47" s="7">
        <f>H47+I47+IF(E47="Y",7,0)+IF(AND(D47="Y",F47="Y"),IF(OR(A47="I",A47="M+I",A47="U+I"),4,5),0)</f>
        <v>20</v>
      </c>
    </row>
    <row r="48" spans="1:10" ht="17.25" thickBot="1">
      <c r="A48" s="6" t="s">
        <v>17</v>
      </c>
      <c r="B48" s="2" t="s">
        <v>12</v>
      </c>
      <c r="C48" s="2" t="s">
        <v>20</v>
      </c>
      <c r="D48" s="2" t="s">
        <v>21</v>
      </c>
      <c r="E48" s="2" t="s">
        <v>22</v>
      </c>
      <c r="F48" s="2" t="s">
        <v>22</v>
      </c>
      <c r="G48" s="20">
        <v>6</v>
      </c>
      <c r="H48" s="2">
        <v>3</v>
      </c>
      <c r="I48" s="20">
        <v>4</v>
      </c>
      <c r="J48" s="7">
        <f>H48+I48+IF(E48="Y",7,0)+IF(AND(D48="Y",F48="Y"),IF(OR(A48="I",A48="M+I",A48="U+I"),4,5),0)</f>
        <v>19</v>
      </c>
    </row>
    <row r="49" spans="1:10">
      <c r="A49" s="6" t="s">
        <v>17</v>
      </c>
      <c r="B49" s="2" t="s">
        <v>10</v>
      </c>
      <c r="C49" s="2" t="s">
        <v>18</v>
      </c>
      <c r="D49" s="2" t="s">
        <v>21</v>
      </c>
      <c r="E49" s="2" t="s">
        <v>9</v>
      </c>
      <c r="F49" s="2" t="s">
        <v>22</v>
      </c>
      <c r="G49" s="18">
        <v>10</v>
      </c>
      <c r="H49" s="4">
        <v>16</v>
      </c>
      <c r="I49" s="18">
        <v>13</v>
      </c>
      <c r="J49" s="7">
        <f>H49+I49+IF(E49="Y",7,0)+IF(AND(D49="Y",F49="Y"),IF(OR(A49="I",A49="M+I",A49="U+I"),4,5),0)</f>
        <v>34</v>
      </c>
    </row>
    <row r="50" spans="1:10">
      <c r="A50" s="6" t="s">
        <v>17</v>
      </c>
      <c r="B50" s="2" t="s">
        <v>10</v>
      </c>
      <c r="C50" s="2" t="s">
        <v>19</v>
      </c>
      <c r="D50" s="2" t="s">
        <v>21</v>
      </c>
      <c r="E50" s="2" t="s">
        <v>9</v>
      </c>
      <c r="F50" s="2" t="s">
        <v>22</v>
      </c>
      <c r="G50" s="18">
        <v>10</v>
      </c>
      <c r="H50" s="2">
        <v>12</v>
      </c>
      <c r="I50" s="18">
        <v>10</v>
      </c>
      <c r="J50" s="7">
        <f>H50+I50+IF(E50="Y",7,0)+IF(AND(D50="Y",F50="Y"),IF(OR(A50="I",A50="M+I",A50="U+I"),4,5),0)</f>
        <v>27</v>
      </c>
    </row>
    <row r="51" spans="1:10">
      <c r="A51" s="6" t="s">
        <v>17</v>
      </c>
      <c r="B51" s="2" t="s">
        <v>10</v>
      </c>
      <c r="C51" s="2" t="s">
        <v>20</v>
      </c>
      <c r="D51" s="2" t="s">
        <v>21</v>
      </c>
      <c r="E51" s="2" t="s">
        <v>9</v>
      </c>
      <c r="F51" s="2" t="s">
        <v>22</v>
      </c>
      <c r="G51" s="18">
        <v>9</v>
      </c>
      <c r="H51" s="2">
        <v>11</v>
      </c>
      <c r="I51" s="18">
        <v>10</v>
      </c>
      <c r="J51" s="7">
        <f>H51+I51+IF(E51="Y",7,0)+IF(AND(D51="Y",F51="Y"),IF(OR(A51="I",A51="M+I",A51="U+I"),4,5),0)</f>
        <v>26</v>
      </c>
    </row>
    <row r="52" spans="1:10">
      <c r="A52" s="6" t="s">
        <v>17</v>
      </c>
      <c r="B52" s="2" t="s">
        <v>11</v>
      </c>
      <c r="C52" s="2" t="s">
        <v>18</v>
      </c>
      <c r="D52" s="2" t="s">
        <v>21</v>
      </c>
      <c r="E52" s="2" t="s">
        <v>9</v>
      </c>
      <c r="F52" s="2" t="s">
        <v>22</v>
      </c>
      <c r="G52" s="18">
        <v>7</v>
      </c>
      <c r="H52" s="2">
        <v>12</v>
      </c>
      <c r="I52" s="18">
        <v>7</v>
      </c>
      <c r="J52" s="7">
        <f>H52+I52+IF(E52="Y",7,0)+IF(AND(D52="Y",F52="Y"),IF(OR(A52="I",A52="M+I",A52="U+I"),4,5),0)</f>
        <v>24</v>
      </c>
    </row>
    <row r="53" spans="1:10">
      <c r="A53" s="6" t="s">
        <v>17</v>
      </c>
      <c r="B53" s="2" t="s">
        <v>11</v>
      </c>
      <c r="C53" s="2" t="s">
        <v>19</v>
      </c>
      <c r="D53" s="2" t="s">
        <v>21</v>
      </c>
      <c r="E53" s="2" t="s">
        <v>9</v>
      </c>
      <c r="F53" s="2" t="s">
        <v>22</v>
      </c>
      <c r="G53" s="18">
        <v>7</v>
      </c>
      <c r="H53" s="2">
        <v>8</v>
      </c>
      <c r="I53" s="18">
        <v>4</v>
      </c>
      <c r="J53" s="7">
        <f>H53+I53+IF(E53="Y",7,0)+IF(AND(D53="Y",F53="Y"),IF(OR(A53="I",A53="M+I",A53="U+I"),4,5),0)</f>
        <v>17</v>
      </c>
    </row>
    <row r="54" spans="1:10">
      <c r="A54" s="6" t="s">
        <v>17</v>
      </c>
      <c r="B54" s="2" t="s">
        <v>11</v>
      </c>
      <c r="C54" s="2" t="s">
        <v>20</v>
      </c>
      <c r="D54" s="2" t="s">
        <v>21</v>
      </c>
      <c r="E54" s="2" t="s">
        <v>9</v>
      </c>
      <c r="F54" s="2" t="s">
        <v>22</v>
      </c>
      <c r="G54" s="18">
        <v>6</v>
      </c>
      <c r="H54" s="2">
        <v>7</v>
      </c>
      <c r="I54" s="18">
        <v>4</v>
      </c>
      <c r="J54" s="7">
        <f>H54+I54+IF(E54="Y",7,0)+IF(AND(D54="Y",F54="Y"),IF(OR(A54="I",A54="M+I",A54="U+I"),4,5),0)</f>
        <v>16</v>
      </c>
    </row>
    <row r="55" spans="1:10">
      <c r="A55" s="6" t="s">
        <v>17</v>
      </c>
      <c r="B55" s="2" t="s">
        <v>12</v>
      </c>
      <c r="C55" s="2" t="s">
        <v>18</v>
      </c>
      <c r="D55" s="2" t="s">
        <v>21</v>
      </c>
      <c r="E55" s="2" t="s">
        <v>9</v>
      </c>
      <c r="F55" s="2" t="s">
        <v>22</v>
      </c>
      <c r="G55" s="18">
        <v>7</v>
      </c>
      <c r="H55" s="2">
        <v>8</v>
      </c>
      <c r="I55" s="18">
        <v>7</v>
      </c>
      <c r="J55" s="7">
        <f>H55+I55+IF(E55="Y",7,0)+IF(AND(D55="Y",F55="Y"),IF(OR(A55="I",A55="M+I",A55="U+I"),4,5),0)</f>
        <v>20</v>
      </c>
    </row>
    <row r="56" spans="1:10">
      <c r="A56" s="6" t="s">
        <v>17</v>
      </c>
      <c r="B56" s="2" t="s">
        <v>12</v>
      </c>
      <c r="C56" s="2" t="s">
        <v>19</v>
      </c>
      <c r="D56" s="2" t="s">
        <v>21</v>
      </c>
      <c r="E56" s="2" t="s">
        <v>9</v>
      </c>
      <c r="F56" s="2" t="s">
        <v>22</v>
      </c>
      <c r="G56" s="18">
        <v>7</v>
      </c>
      <c r="H56" s="2">
        <v>4</v>
      </c>
      <c r="I56" s="18">
        <v>4</v>
      </c>
      <c r="J56" s="7">
        <f>H56+I56+IF(E56="Y",7,0)+IF(AND(D56="Y",F56="Y"),IF(OR(A56="I",A56="M+I",A56="U+I"),4,5),0)</f>
        <v>13</v>
      </c>
    </row>
    <row r="57" spans="1:10" ht="17.25" thickBot="1">
      <c r="A57" s="8" t="s">
        <v>17</v>
      </c>
      <c r="B57" s="9" t="s">
        <v>12</v>
      </c>
      <c r="C57" s="9" t="s">
        <v>20</v>
      </c>
      <c r="D57" s="9" t="s">
        <v>21</v>
      </c>
      <c r="E57" s="9" t="s">
        <v>9</v>
      </c>
      <c r="F57" s="9" t="s">
        <v>22</v>
      </c>
      <c r="G57" s="20">
        <v>6</v>
      </c>
      <c r="H57" s="2">
        <v>3</v>
      </c>
      <c r="I57" s="20">
        <v>4</v>
      </c>
      <c r="J57" s="10">
        <f>H57+I57+IF(E57="Y",7,0)+IF(AND(D57="Y",F57="Y"),IF(OR(A57="I",A57="M+I",A57="U+I"),4,5),0)</f>
        <v>12</v>
      </c>
    </row>
    <row r="58" spans="1:10" ht="17.25" thickBot="1">
      <c r="A58" s="3" t="s">
        <v>26</v>
      </c>
      <c r="B58" s="4" t="s">
        <v>10</v>
      </c>
      <c r="C58" s="4" t="s">
        <v>27</v>
      </c>
      <c r="D58" s="4" t="s">
        <v>21</v>
      </c>
      <c r="E58" s="4" t="s">
        <v>22</v>
      </c>
      <c r="F58" s="4" t="s">
        <v>9</v>
      </c>
      <c r="G58" s="21">
        <v>10</v>
      </c>
      <c r="H58" s="4">
        <v>16</v>
      </c>
      <c r="I58" s="21">
        <v>38</v>
      </c>
      <c r="J58" s="5">
        <f>H58+I58+IF(E58="Y",7,0)+IF(AND(D58="Y",F58="Y"),IF(OR(A58="I",A58="M+I",A58="U+I"),4,5),0)</f>
        <v>61</v>
      </c>
    </row>
    <row r="59" spans="1:10">
      <c r="A59" s="6" t="s">
        <v>26</v>
      </c>
      <c r="B59" s="2" t="s">
        <v>10</v>
      </c>
      <c r="C59" s="2" t="s">
        <v>18</v>
      </c>
      <c r="D59" s="2" t="s">
        <v>21</v>
      </c>
      <c r="E59" s="2" t="s">
        <v>22</v>
      </c>
      <c r="F59" s="2" t="s">
        <v>9</v>
      </c>
      <c r="G59" s="18">
        <v>10</v>
      </c>
      <c r="H59" s="4">
        <v>16</v>
      </c>
      <c r="I59" s="18">
        <v>32</v>
      </c>
      <c r="J59" s="7">
        <f>H59+I59+IF(E59="Y",7,0)+IF(AND(D59="Y",F59="Y"),IF(OR(A59="I",A59="M+I",A59="U+I"),4,5),0)</f>
        <v>55</v>
      </c>
    </row>
    <row r="60" spans="1:10">
      <c r="A60" s="6" t="s">
        <v>26</v>
      </c>
      <c r="B60" s="2" t="s">
        <v>10</v>
      </c>
      <c r="C60" s="2" t="s">
        <v>19</v>
      </c>
      <c r="D60" s="2" t="s">
        <v>21</v>
      </c>
      <c r="E60" s="2" t="s">
        <v>22</v>
      </c>
      <c r="F60" s="2" t="s">
        <v>9</v>
      </c>
      <c r="G60" s="18">
        <v>10</v>
      </c>
      <c r="H60" s="2">
        <v>12</v>
      </c>
      <c r="I60" s="18">
        <v>28</v>
      </c>
      <c r="J60" s="7">
        <f>H60+I60+IF(E60="Y",7,0)+IF(AND(D60="Y",F60="Y"),IF(OR(A60="I",A60="M+I",A60="U+I"),4,5),0)</f>
        <v>47</v>
      </c>
    </row>
    <row r="61" spans="1:10">
      <c r="A61" s="6" t="s">
        <v>26</v>
      </c>
      <c r="B61" s="2" t="s">
        <v>10</v>
      </c>
      <c r="C61" s="2" t="s">
        <v>20</v>
      </c>
      <c r="D61" s="2" t="s">
        <v>21</v>
      </c>
      <c r="E61" s="2" t="s">
        <v>22</v>
      </c>
      <c r="F61" s="2" t="s">
        <v>9</v>
      </c>
      <c r="G61" s="18">
        <v>9</v>
      </c>
      <c r="H61" s="2">
        <v>11</v>
      </c>
      <c r="I61" s="18">
        <v>28</v>
      </c>
      <c r="J61" s="7">
        <f>H61+I61+IF(E61="Y",7,0)+IF(AND(D61="Y",F61="Y"),IF(OR(A61="I",A61="M+I",A61="U+I"),4,5),0)</f>
        <v>46</v>
      </c>
    </row>
    <row r="62" spans="1:10">
      <c r="A62" s="6" t="s">
        <v>26</v>
      </c>
      <c r="B62" s="2" t="s">
        <v>11</v>
      </c>
      <c r="C62" s="2" t="s">
        <v>27</v>
      </c>
      <c r="D62" s="2" t="s">
        <v>21</v>
      </c>
      <c r="E62" s="2" t="s">
        <v>22</v>
      </c>
      <c r="F62" s="2" t="s">
        <v>9</v>
      </c>
      <c r="G62" s="18">
        <v>7</v>
      </c>
      <c r="H62" s="2">
        <v>12</v>
      </c>
      <c r="I62" s="18">
        <v>34</v>
      </c>
      <c r="J62" s="7">
        <f>H62+I62+IF(E62="Y",7,0)+IF(AND(D62="Y",F62="Y"),IF(OR(A62="I",A62="M+I",A62="U+I"),4,5),0)</f>
        <v>53</v>
      </c>
    </row>
    <row r="63" spans="1:10">
      <c r="A63" s="6" t="s">
        <v>26</v>
      </c>
      <c r="B63" s="2" t="s">
        <v>11</v>
      </c>
      <c r="C63" s="2" t="s">
        <v>18</v>
      </c>
      <c r="D63" s="2" t="s">
        <v>21</v>
      </c>
      <c r="E63" s="2" t="s">
        <v>22</v>
      </c>
      <c r="F63" s="2" t="s">
        <v>9</v>
      </c>
      <c r="G63" s="18">
        <v>7</v>
      </c>
      <c r="H63" s="2">
        <v>12</v>
      </c>
      <c r="I63" s="18">
        <v>28</v>
      </c>
      <c r="J63" s="7">
        <f>H63+I63+IF(E63="Y",7,0)+IF(AND(D63="Y",F63="Y"),IF(OR(A63="I",A63="M+I",A63="U+I"),4,5),0)</f>
        <v>47</v>
      </c>
    </row>
    <row r="64" spans="1:10">
      <c r="A64" s="6" t="s">
        <v>26</v>
      </c>
      <c r="B64" s="2" t="s">
        <v>11</v>
      </c>
      <c r="C64" s="2" t="s">
        <v>19</v>
      </c>
      <c r="D64" s="2" t="s">
        <v>21</v>
      </c>
      <c r="E64" s="2" t="s">
        <v>22</v>
      </c>
      <c r="F64" s="2" t="s">
        <v>9</v>
      </c>
      <c r="G64" s="18">
        <v>7</v>
      </c>
      <c r="H64" s="2">
        <v>8</v>
      </c>
      <c r="I64" s="18">
        <v>24</v>
      </c>
      <c r="J64" s="7">
        <f>H64+I64+IF(E64="Y",7,0)+IF(AND(D64="Y",F64="Y"),IF(OR(A64="I",A64="M+I",A64="U+I"),4,5),0)</f>
        <v>39</v>
      </c>
    </row>
    <row r="65" spans="1:10">
      <c r="A65" s="6" t="s">
        <v>26</v>
      </c>
      <c r="B65" s="2" t="s">
        <v>11</v>
      </c>
      <c r="C65" s="2" t="s">
        <v>20</v>
      </c>
      <c r="D65" s="2" t="s">
        <v>21</v>
      </c>
      <c r="E65" s="2" t="s">
        <v>22</v>
      </c>
      <c r="F65" s="2" t="s">
        <v>9</v>
      </c>
      <c r="G65" s="18">
        <v>6</v>
      </c>
      <c r="H65" s="2">
        <v>7</v>
      </c>
      <c r="I65" s="18">
        <v>24</v>
      </c>
      <c r="J65" s="7">
        <f>H65+I65+IF(E65="Y",7,0)+IF(AND(D65="Y",F65="Y"),IF(OR(A65="I",A65="M+I",A65="U+I"),4,5),0)</f>
        <v>38</v>
      </c>
    </row>
    <row r="66" spans="1:10">
      <c r="A66" s="6" t="s">
        <v>26</v>
      </c>
      <c r="B66" s="2" t="s">
        <v>12</v>
      </c>
      <c r="C66" s="2" t="s">
        <v>18</v>
      </c>
      <c r="D66" s="2" t="s">
        <v>21</v>
      </c>
      <c r="E66" s="2" t="s">
        <v>22</v>
      </c>
      <c r="F66" s="2" t="s">
        <v>9</v>
      </c>
      <c r="G66" s="18">
        <v>7</v>
      </c>
      <c r="H66" s="2">
        <v>8</v>
      </c>
      <c r="I66" s="18">
        <v>25</v>
      </c>
      <c r="J66" s="7">
        <f>H66+I66+IF(E66="Y",7,0)+IF(AND(D66="Y",F66="Y"),IF(OR(A66="I",A66="M+I",A66="U+I"),4,5),0)</f>
        <v>40</v>
      </c>
    </row>
    <row r="67" spans="1:10">
      <c r="A67" s="6" t="s">
        <v>26</v>
      </c>
      <c r="B67" s="2" t="s">
        <v>12</v>
      </c>
      <c r="C67" s="2" t="s">
        <v>19</v>
      </c>
      <c r="D67" s="2" t="s">
        <v>21</v>
      </c>
      <c r="E67" s="2" t="s">
        <v>22</v>
      </c>
      <c r="F67" s="2" t="s">
        <v>9</v>
      </c>
      <c r="G67" s="18">
        <v>7</v>
      </c>
      <c r="H67" s="2">
        <v>4</v>
      </c>
      <c r="I67" s="18">
        <v>21</v>
      </c>
      <c r="J67" s="7">
        <f>H67+I67+IF(E67="Y",7,0)+IF(AND(D67="Y",F67="Y"),IF(OR(A67="I",A67="M+I",A67="U+I"),4,5),0)</f>
        <v>32</v>
      </c>
    </row>
    <row r="68" spans="1:10" ht="17.25" thickBot="1">
      <c r="A68" s="6" t="s">
        <v>26</v>
      </c>
      <c r="B68" s="2" t="s">
        <v>12</v>
      </c>
      <c r="C68" s="2" t="s">
        <v>20</v>
      </c>
      <c r="D68" s="2" t="s">
        <v>21</v>
      </c>
      <c r="E68" s="2" t="s">
        <v>22</v>
      </c>
      <c r="F68" s="2" t="s">
        <v>9</v>
      </c>
      <c r="G68" s="22">
        <v>6</v>
      </c>
      <c r="H68" s="2">
        <v>3</v>
      </c>
      <c r="I68" s="22">
        <v>21</v>
      </c>
      <c r="J68" s="7">
        <f>H68+I68+IF(E68="Y",7,0)+IF(AND(D68="Y",F68="Y"),IF(OR(A68="I",A68="M+I",A68="U+I"),4,5),0)</f>
        <v>31</v>
      </c>
    </row>
    <row r="69" spans="1:10" ht="17.25" thickBot="1">
      <c r="A69" s="6" t="s">
        <v>26</v>
      </c>
      <c r="B69" s="2" t="s">
        <v>10</v>
      </c>
      <c r="C69" s="2" t="s">
        <v>27</v>
      </c>
      <c r="D69" s="2" t="s">
        <v>21</v>
      </c>
      <c r="E69" s="2" t="s">
        <v>22</v>
      </c>
      <c r="F69" s="2" t="s">
        <v>22</v>
      </c>
      <c r="G69" s="21">
        <v>10</v>
      </c>
      <c r="H69" s="4">
        <v>16</v>
      </c>
      <c r="I69" s="21">
        <v>38</v>
      </c>
      <c r="J69" s="7">
        <f>H69+I69+IF(E69="Y",7,0)+IF(AND(D69="Y",F69="Y"),IF(OR(A69="I",A69="M+I",A69="U+I"),4,5),0)</f>
        <v>66</v>
      </c>
    </row>
    <row r="70" spans="1:10">
      <c r="A70" s="6" t="s">
        <v>26</v>
      </c>
      <c r="B70" s="2" t="s">
        <v>10</v>
      </c>
      <c r="C70" s="2" t="s">
        <v>18</v>
      </c>
      <c r="D70" s="2" t="s">
        <v>21</v>
      </c>
      <c r="E70" s="2" t="s">
        <v>22</v>
      </c>
      <c r="F70" s="2" t="s">
        <v>22</v>
      </c>
      <c r="G70" s="18">
        <v>10</v>
      </c>
      <c r="H70" s="4">
        <v>16</v>
      </c>
      <c r="I70" s="18">
        <v>32</v>
      </c>
      <c r="J70" s="7">
        <f>H70+I70+IF(E70="Y",7,0)+IF(AND(D70="Y",F70="Y"),IF(OR(A70="I",A70="M+I",A70="U+I"),4,5),0)</f>
        <v>60</v>
      </c>
    </row>
    <row r="71" spans="1:10">
      <c r="A71" s="6" t="s">
        <v>26</v>
      </c>
      <c r="B71" s="2" t="s">
        <v>10</v>
      </c>
      <c r="C71" s="2" t="s">
        <v>19</v>
      </c>
      <c r="D71" s="2" t="s">
        <v>21</v>
      </c>
      <c r="E71" s="2" t="s">
        <v>22</v>
      </c>
      <c r="F71" s="2" t="s">
        <v>22</v>
      </c>
      <c r="G71" s="18">
        <v>10</v>
      </c>
      <c r="H71" s="2">
        <v>12</v>
      </c>
      <c r="I71" s="18">
        <v>28</v>
      </c>
      <c r="J71" s="7">
        <f>H71+I71+IF(E71="Y",7,0)+IF(AND(D71="Y",F71="Y"),IF(OR(A71="I",A71="M+I",A71="U+I"),4,5),0)</f>
        <v>52</v>
      </c>
    </row>
    <row r="72" spans="1:10">
      <c r="A72" s="6" t="s">
        <v>26</v>
      </c>
      <c r="B72" s="2" t="s">
        <v>10</v>
      </c>
      <c r="C72" s="2" t="s">
        <v>20</v>
      </c>
      <c r="D72" s="2" t="s">
        <v>21</v>
      </c>
      <c r="E72" s="2" t="s">
        <v>22</v>
      </c>
      <c r="F72" s="2" t="s">
        <v>22</v>
      </c>
      <c r="G72" s="18">
        <v>9</v>
      </c>
      <c r="H72" s="2">
        <v>11</v>
      </c>
      <c r="I72" s="18">
        <v>28</v>
      </c>
      <c r="J72" s="7">
        <f>H72+I72+IF(E72="Y",7,0)+IF(AND(D72="Y",F72="Y"),IF(OR(A72="I",A72="M+I",A72="U+I"),4,5),0)</f>
        <v>51</v>
      </c>
    </row>
    <row r="73" spans="1:10">
      <c r="A73" s="6" t="s">
        <v>26</v>
      </c>
      <c r="B73" s="2" t="s">
        <v>11</v>
      </c>
      <c r="C73" s="2" t="s">
        <v>27</v>
      </c>
      <c r="D73" s="2" t="s">
        <v>21</v>
      </c>
      <c r="E73" s="2" t="s">
        <v>22</v>
      </c>
      <c r="F73" s="2" t="s">
        <v>22</v>
      </c>
      <c r="G73" s="18">
        <v>7</v>
      </c>
      <c r="H73" s="2">
        <v>12</v>
      </c>
      <c r="I73" s="18">
        <v>34</v>
      </c>
      <c r="J73" s="7">
        <f>H73+I73+IF(E73="Y",7,0)+IF(AND(D73="Y",F73="Y"),IF(OR(A73="I",A73="M+I",A73="U+I"),4,5),0)</f>
        <v>58</v>
      </c>
    </row>
    <row r="74" spans="1:10">
      <c r="A74" s="6" t="s">
        <v>26</v>
      </c>
      <c r="B74" s="2" t="s">
        <v>11</v>
      </c>
      <c r="C74" s="2" t="s">
        <v>18</v>
      </c>
      <c r="D74" s="2" t="s">
        <v>21</v>
      </c>
      <c r="E74" s="2" t="s">
        <v>22</v>
      </c>
      <c r="F74" s="2" t="s">
        <v>22</v>
      </c>
      <c r="G74" s="18">
        <v>7</v>
      </c>
      <c r="H74" s="2">
        <v>12</v>
      </c>
      <c r="I74" s="18">
        <v>28</v>
      </c>
      <c r="J74" s="7">
        <f>H74+I74+IF(E74="Y",7,0)+IF(AND(D74="Y",F74="Y"),IF(OR(A74="I",A74="M+I",A74="U+I"),4,5),0)</f>
        <v>52</v>
      </c>
    </row>
    <row r="75" spans="1:10">
      <c r="A75" s="6" t="s">
        <v>26</v>
      </c>
      <c r="B75" s="2" t="s">
        <v>11</v>
      </c>
      <c r="C75" s="2" t="s">
        <v>19</v>
      </c>
      <c r="D75" s="2" t="s">
        <v>21</v>
      </c>
      <c r="E75" s="2" t="s">
        <v>22</v>
      </c>
      <c r="F75" s="2" t="s">
        <v>22</v>
      </c>
      <c r="G75" s="18">
        <v>7</v>
      </c>
      <c r="H75" s="2">
        <v>8</v>
      </c>
      <c r="I75" s="18">
        <v>24</v>
      </c>
      <c r="J75" s="7">
        <f>H75+I75+IF(E75="Y",7,0)+IF(AND(D75="Y",F75="Y"),IF(OR(A75="I",A75="M+I",A75="U+I"),4,5),0)</f>
        <v>44</v>
      </c>
    </row>
    <row r="76" spans="1:10">
      <c r="A76" s="6" t="s">
        <v>26</v>
      </c>
      <c r="B76" s="2" t="s">
        <v>11</v>
      </c>
      <c r="C76" s="2" t="s">
        <v>20</v>
      </c>
      <c r="D76" s="2" t="s">
        <v>21</v>
      </c>
      <c r="E76" s="2" t="s">
        <v>22</v>
      </c>
      <c r="F76" s="2" t="s">
        <v>22</v>
      </c>
      <c r="G76" s="18">
        <v>6</v>
      </c>
      <c r="H76" s="2">
        <v>7</v>
      </c>
      <c r="I76" s="18">
        <v>24</v>
      </c>
      <c r="J76" s="7">
        <f>H76+I76+IF(E76="Y",7,0)+IF(AND(D76="Y",F76="Y"),IF(OR(A76="I",A76="M+I",A76="U+I"),4,5),0)</f>
        <v>43</v>
      </c>
    </row>
    <row r="77" spans="1:10">
      <c r="A77" s="6" t="s">
        <v>26</v>
      </c>
      <c r="B77" s="2" t="s">
        <v>12</v>
      </c>
      <c r="C77" s="2" t="s">
        <v>18</v>
      </c>
      <c r="D77" s="2" t="s">
        <v>21</v>
      </c>
      <c r="E77" s="2" t="s">
        <v>22</v>
      </c>
      <c r="F77" s="2" t="s">
        <v>22</v>
      </c>
      <c r="G77" s="18">
        <v>7</v>
      </c>
      <c r="H77" s="2">
        <v>8</v>
      </c>
      <c r="I77" s="18">
        <v>25</v>
      </c>
      <c r="J77" s="7">
        <f>H77+I77+IF(E77="Y",7,0)+IF(AND(D77="Y",F77="Y"),IF(OR(A77="I",A77="M+I",A77="U+I"),4,5),0)</f>
        <v>45</v>
      </c>
    </row>
    <row r="78" spans="1:10">
      <c r="A78" s="6" t="s">
        <v>26</v>
      </c>
      <c r="B78" s="2" t="s">
        <v>12</v>
      </c>
      <c r="C78" s="2" t="s">
        <v>19</v>
      </c>
      <c r="D78" s="2" t="s">
        <v>21</v>
      </c>
      <c r="E78" s="2" t="s">
        <v>22</v>
      </c>
      <c r="F78" s="2" t="s">
        <v>22</v>
      </c>
      <c r="G78" s="18">
        <v>7</v>
      </c>
      <c r="H78" s="2">
        <v>4</v>
      </c>
      <c r="I78" s="18">
        <v>21</v>
      </c>
      <c r="J78" s="7">
        <f>H78+I78+IF(E78="Y",7,0)+IF(AND(D78="Y",F78="Y"),IF(OR(A78="I",A78="M+I",A78="U+I"),4,5),0)</f>
        <v>37</v>
      </c>
    </row>
    <row r="79" spans="1:10" ht="17.25" thickBot="1">
      <c r="A79" s="6" t="s">
        <v>26</v>
      </c>
      <c r="B79" s="2" t="s">
        <v>12</v>
      </c>
      <c r="C79" s="2" t="s">
        <v>20</v>
      </c>
      <c r="D79" s="2" t="s">
        <v>21</v>
      </c>
      <c r="E79" s="2" t="s">
        <v>22</v>
      </c>
      <c r="F79" s="2" t="s">
        <v>22</v>
      </c>
      <c r="G79" s="22">
        <v>6</v>
      </c>
      <c r="H79" s="2">
        <v>3</v>
      </c>
      <c r="I79" s="22">
        <v>21</v>
      </c>
      <c r="J79" s="7">
        <f>H79+I79+IF(E79="Y",7,0)+IF(AND(D79="Y",F79="Y"),IF(OR(A79="I",A79="M+I",A79="U+I"),4,5),0)</f>
        <v>36</v>
      </c>
    </row>
    <row r="80" spans="1:10" ht="17.25" thickBot="1">
      <c r="A80" s="6" t="s">
        <v>26</v>
      </c>
      <c r="B80" s="2" t="s">
        <v>10</v>
      </c>
      <c r="C80" s="2" t="s">
        <v>27</v>
      </c>
      <c r="D80" s="2" t="s">
        <v>21</v>
      </c>
      <c r="E80" s="2" t="s">
        <v>9</v>
      </c>
      <c r="F80" s="2" t="s">
        <v>22</v>
      </c>
      <c r="G80" s="21">
        <v>10</v>
      </c>
      <c r="H80" s="4">
        <v>16</v>
      </c>
      <c r="I80" s="21">
        <v>38</v>
      </c>
      <c r="J80" s="7">
        <f>H80+I80+IF(E80="Y",7,0)+IF(AND(D80="Y",F80="Y"),IF(OR(A80="I",A80="M+I",A80="U+I"),4,5),0)</f>
        <v>59</v>
      </c>
    </row>
    <row r="81" spans="1:10">
      <c r="A81" s="6" t="s">
        <v>26</v>
      </c>
      <c r="B81" s="2" t="s">
        <v>10</v>
      </c>
      <c r="C81" s="2" t="s">
        <v>18</v>
      </c>
      <c r="D81" s="2" t="s">
        <v>21</v>
      </c>
      <c r="E81" s="2" t="s">
        <v>9</v>
      </c>
      <c r="F81" s="2" t="s">
        <v>22</v>
      </c>
      <c r="G81" s="18">
        <v>10</v>
      </c>
      <c r="H81" s="4">
        <v>16</v>
      </c>
      <c r="I81" s="18">
        <v>32</v>
      </c>
      <c r="J81" s="7">
        <f>H81+I81+IF(E81="Y",7,0)+IF(AND(D81="Y",F81="Y"),IF(OR(A81="I",A81="M+I",A81="U+I"),4,5),0)</f>
        <v>53</v>
      </c>
    </row>
    <row r="82" spans="1:10">
      <c r="A82" s="6" t="s">
        <v>26</v>
      </c>
      <c r="B82" s="2" t="s">
        <v>10</v>
      </c>
      <c r="C82" s="2" t="s">
        <v>19</v>
      </c>
      <c r="D82" s="2" t="s">
        <v>21</v>
      </c>
      <c r="E82" s="2" t="s">
        <v>9</v>
      </c>
      <c r="F82" s="2" t="s">
        <v>22</v>
      </c>
      <c r="G82" s="18">
        <v>10</v>
      </c>
      <c r="H82" s="2">
        <v>12</v>
      </c>
      <c r="I82" s="18">
        <v>28</v>
      </c>
      <c r="J82" s="7">
        <f>H82+I82+IF(E82="Y",7,0)+IF(AND(D82="Y",F82="Y"),IF(OR(A82="I",A82="M+I",A82="U+I"),4,5),0)</f>
        <v>45</v>
      </c>
    </row>
    <row r="83" spans="1:10">
      <c r="A83" s="6" t="s">
        <v>26</v>
      </c>
      <c r="B83" s="2" t="s">
        <v>10</v>
      </c>
      <c r="C83" s="2" t="s">
        <v>20</v>
      </c>
      <c r="D83" s="2" t="s">
        <v>21</v>
      </c>
      <c r="E83" s="2" t="s">
        <v>9</v>
      </c>
      <c r="F83" s="2" t="s">
        <v>22</v>
      </c>
      <c r="G83" s="18">
        <v>9</v>
      </c>
      <c r="H83" s="2">
        <v>11</v>
      </c>
      <c r="I83" s="18">
        <v>28</v>
      </c>
      <c r="J83" s="7">
        <f>H83+I83+IF(E83="Y",7,0)+IF(AND(D83="Y",F83="Y"),IF(OR(A83="I",A83="M+I",A83="U+I"),4,5),0)</f>
        <v>44</v>
      </c>
    </row>
    <row r="84" spans="1:10">
      <c r="A84" s="6" t="s">
        <v>26</v>
      </c>
      <c r="B84" s="2" t="s">
        <v>11</v>
      </c>
      <c r="C84" s="2" t="s">
        <v>27</v>
      </c>
      <c r="D84" s="2" t="s">
        <v>21</v>
      </c>
      <c r="E84" s="2" t="s">
        <v>9</v>
      </c>
      <c r="F84" s="2" t="s">
        <v>22</v>
      </c>
      <c r="G84" s="18">
        <v>7</v>
      </c>
      <c r="H84" s="2">
        <v>12</v>
      </c>
      <c r="I84" s="18">
        <v>34</v>
      </c>
      <c r="J84" s="7">
        <f>H84+I84+IF(E84="Y",7,0)+IF(AND(D84="Y",F84="Y"),IF(OR(A84="I",A84="M+I",A84="U+I"),4,5),0)</f>
        <v>51</v>
      </c>
    </row>
    <row r="85" spans="1:10">
      <c r="A85" s="6" t="s">
        <v>26</v>
      </c>
      <c r="B85" s="2" t="s">
        <v>11</v>
      </c>
      <c r="C85" s="2" t="s">
        <v>18</v>
      </c>
      <c r="D85" s="2" t="s">
        <v>21</v>
      </c>
      <c r="E85" s="2" t="s">
        <v>9</v>
      </c>
      <c r="F85" s="2" t="s">
        <v>22</v>
      </c>
      <c r="G85" s="18">
        <v>7</v>
      </c>
      <c r="H85" s="2">
        <v>12</v>
      </c>
      <c r="I85" s="18">
        <v>28</v>
      </c>
      <c r="J85" s="7">
        <f>H85+I85+IF(E85="Y",7,0)+IF(AND(D85="Y",F85="Y"),IF(OR(A85="I",A85="M+I",A85="U+I"),4,5),0)</f>
        <v>45</v>
      </c>
    </row>
    <row r="86" spans="1:10">
      <c r="A86" s="6" t="s">
        <v>26</v>
      </c>
      <c r="B86" s="2" t="s">
        <v>11</v>
      </c>
      <c r="C86" s="2" t="s">
        <v>19</v>
      </c>
      <c r="D86" s="2" t="s">
        <v>21</v>
      </c>
      <c r="E86" s="2" t="s">
        <v>9</v>
      </c>
      <c r="F86" s="2" t="s">
        <v>22</v>
      </c>
      <c r="G86" s="18">
        <v>7</v>
      </c>
      <c r="H86" s="2">
        <v>8</v>
      </c>
      <c r="I86" s="18">
        <v>24</v>
      </c>
      <c r="J86" s="7">
        <f>H86+I86+IF(E86="Y",7,0)+IF(AND(D86="Y",F86="Y"),IF(OR(A86="I",A86="M+I",A86="U+I"),4,5),0)</f>
        <v>37</v>
      </c>
    </row>
    <row r="87" spans="1:10">
      <c r="A87" s="6" t="s">
        <v>26</v>
      </c>
      <c r="B87" s="2" t="s">
        <v>11</v>
      </c>
      <c r="C87" s="2" t="s">
        <v>20</v>
      </c>
      <c r="D87" s="2" t="s">
        <v>21</v>
      </c>
      <c r="E87" s="2" t="s">
        <v>9</v>
      </c>
      <c r="F87" s="2" t="s">
        <v>22</v>
      </c>
      <c r="G87" s="18">
        <v>6</v>
      </c>
      <c r="H87" s="2">
        <v>7</v>
      </c>
      <c r="I87" s="18">
        <v>24</v>
      </c>
      <c r="J87" s="7">
        <f>H87+I87+IF(E87="Y",7,0)+IF(AND(D87="Y",F87="Y"),IF(OR(A87="I",A87="M+I",A87="U+I"),4,5),0)</f>
        <v>36</v>
      </c>
    </row>
    <row r="88" spans="1:10">
      <c r="A88" s="6" t="s">
        <v>26</v>
      </c>
      <c r="B88" s="2" t="s">
        <v>12</v>
      </c>
      <c r="C88" s="2" t="s">
        <v>18</v>
      </c>
      <c r="D88" s="2" t="s">
        <v>21</v>
      </c>
      <c r="E88" s="2" t="s">
        <v>9</v>
      </c>
      <c r="F88" s="2" t="s">
        <v>22</v>
      </c>
      <c r="G88" s="18">
        <v>7</v>
      </c>
      <c r="H88" s="2">
        <v>8</v>
      </c>
      <c r="I88" s="18">
        <v>25</v>
      </c>
      <c r="J88" s="7">
        <f>H88+I88+IF(E88="Y",7,0)+IF(AND(D88="Y",F88="Y"),IF(OR(A88="I",A88="M+I",A88="U+I"),4,5),0)</f>
        <v>38</v>
      </c>
    </row>
    <row r="89" spans="1:10">
      <c r="A89" s="6" t="s">
        <v>26</v>
      </c>
      <c r="B89" s="2" t="s">
        <v>12</v>
      </c>
      <c r="C89" s="2" t="s">
        <v>19</v>
      </c>
      <c r="D89" s="2" t="s">
        <v>21</v>
      </c>
      <c r="E89" s="2" t="s">
        <v>9</v>
      </c>
      <c r="F89" s="2" t="s">
        <v>22</v>
      </c>
      <c r="G89" s="18">
        <v>7</v>
      </c>
      <c r="H89" s="2">
        <v>4</v>
      </c>
      <c r="I89" s="18">
        <v>21</v>
      </c>
      <c r="J89" s="7">
        <f>H89+I89+IF(E89="Y",7,0)+IF(AND(D89="Y",F89="Y"),IF(OR(A89="I",A89="M+I",A89="U+I"),4,5),0)</f>
        <v>30</v>
      </c>
    </row>
    <row r="90" spans="1:10" ht="17.25" thickBot="1">
      <c r="A90" s="6" t="s">
        <v>26</v>
      </c>
      <c r="B90" s="2" t="s">
        <v>12</v>
      </c>
      <c r="C90" s="2" t="s">
        <v>20</v>
      </c>
      <c r="D90" s="2" t="s">
        <v>21</v>
      </c>
      <c r="E90" s="2" t="s">
        <v>9</v>
      </c>
      <c r="F90" s="2" t="s">
        <v>22</v>
      </c>
      <c r="G90" s="22">
        <v>6</v>
      </c>
      <c r="H90" s="2">
        <v>3</v>
      </c>
      <c r="I90" s="22">
        <v>21</v>
      </c>
      <c r="J90" s="7">
        <f>H90+I90+IF(E90="Y",7,0)+IF(AND(D90="Y",F90="Y"),IF(OR(A90="I",A90="M+I",A90="U+I"),4,5),0)</f>
        <v>29</v>
      </c>
    </row>
    <row r="91" spans="1:10" ht="17.25" thickBot="1">
      <c r="A91" s="6" t="s">
        <v>26</v>
      </c>
      <c r="B91" s="2" t="s">
        <v>10</v>
      </c>
      <c r="C91" s="2" t="s">
        <v>27</v>
      </c>
      <c r="D91" s="2" t="s">
        <v>21</v>
      </c>
      <c r="E91" s="2" t="s">
        <v>9</v>
      </c>
      <c r="F91" s="2" t="s">
        <v>9</v>
      </c>
      <c r="G91" s="21">
        <v>10</v>
      </c>
      <c r="H91" s="4">
        <v>16</v>
      </c>
      <c r="I91" s="21">
        <v>38</v>
      </c>
      <c r="J91" s="7">
        <f>H91+I91+IF(E91="Y",7,0)+IF(AND(D91="Y",F91="Y"),IF(OR(A91="I",A91="M+I",A91="U+I"),4,5),0)</f>
        <v>54</v>
      </c>
    </row>
    <row r="92" spans="1:10">
      <c r="A92" s="6" t="s">
        <v>26</v>
      </c>
      <c r="B92" s="2" t="s">
        <v>10</v>
      </c>
      <c r="C92" s="2" t="s">
        <v>18</v>
      </c>
      <c r="D92" s="2" t="s">
        <v>21</v>
      </c>
      <c r="E92" s="2" t="s">
        <v>9</v>
      </c>
      <c r="F92" s="2" t="s">
        <v>9</v>
      </c>
      <c r="G92" s="18">
        <v>10</v>
      </c>
      <c r="H92" s="4">
        <v>16</v>
      </c>
      <c r="I92" s="18">
        <v>32</v>
      </c>
      <c r="J92" s="7">
        <f>H92+I92+IF(E92="Y",7,0)+IF(AND(D92="Y",F92="Y"),IF(OR(A92="I",A92="M+I",A92="U+I"),4,5),0)</f>
        <v>48</v>
      </c>
    </row>
    <row r="93" spans="1:10">
      <c r="A93" s="6" t="s">
        <v>26</v>
      </c>
      <c r="B93" s="2" t="s">
        <v>10</v>
      </c>
      <c r="C93" s="2" t="s">
        <v>19</v>
      </c>
      <c r="D93" s="2" t="s">
        <v>21</v>
      </c>
      <c r="E93" s="2" t="s">
        <v>9</v>
      </c>
      <c r="F93" s="2" t="s">
        <v>9</v>
      </c>
      <c r="G93" s="18">
        <v>10</v>
      </c>
      <c r="H93" s="2">
        <v>12</v>
      </c>
      <c r="I93" s="18">
        <v>28</v>
      </c>
      <c r="J93" s="7">
        <f>H93+I93+IF(E93="Y",7,0)+IF(AND(D93="Y",F93="Y"),IF(OR(A93="I",A93="M+I",A93="U+I"),4,5),0)</f>
        <v>40</v>
      </c>
    </row>
    <row r="94" spans="1:10">
      <c r="A94" s="6" t="s">
        <v>26</v>
      </c>
      <c r="B94" s="2" t="s">
        <v>10</v>
      </c>
      <c r="C94" s="2" t="s">
        <v>20</v>
      </c>
      <c r="D94" s="2" t="s">
        <v>21</v>
      </c>
      <c r="E94" s="2" t="s">
        <v>9</v>
      </c>
      <c r="F94" s="2" t="s">
        <v>9</v>
      </c>
      <c r="G94" s="18">
        <v>9</v>
      </c>
      <c r="H94" s="2">
        <v>11</v>
      </c>
      <c r="I94" s="18">
        <v>28</v>
      </c>
      <c r="J94" s="7">
        <f>H94+I94+IF(E94="Y",7,0)+IF(AND(D94="Y",F94="Y"),IF(OR(A94="I",A94="M+I",A94="U+I"),4,5),0)</f>
        <v>39</v>
      </c>
    </row>
    <row r="95" spans="1:10">
      <c r="A95" s="6" t="s">
        <v>26</v>
      </c>
      <c r="B95" s="2" t="s">
        <v>11</v>
      </c>
      <c r="C95" s="2" t="s">
        <v>27</v>
      </c>
      <c r="D95" s="2" t="s">
        <v>21</v>
      </c>
      <c r="E95" s="2" t="s">
        <v>9</v>
      </c>
      <c r="F95" s="2" t="s">
        <v>9</v>
      </c>
      <c r="G95" s="18">
        <v>7</v>
      </c>
      <c r="H95" s="2">
        <v>12</v>
      </c>
      <c r="I95" s="18">
        <v>34</v>
      </c>
      <c r="J95" s="7">
        <f>H95+I95+IF(E95="Y",7,0)+IF(AND(D95="Y",F95="Y"),IF(OR(A95="I",A95="M+I",A95="U+I"),4,5),0)</f>
        <v>46</v>
      </c>
    </row>
    <row r="96" spans="1:10">
      <c r="A96" s="6" t="s">
        <v>26</v>
      </c>
      <c r="B96" s="2" t="s">
        <v>11</v>
      </c>
      <c r="C96" s="2" t="s">
        <v>18</v>
      </c>
      <c r="D96" s="2" t="s">
        <v>21</v>
      </c>
      <c r="E96" s="2" t="s">
        <v>9</v>
      </c>
      <c r="F96" s="2" t="s">
        <v>9</v>
      </c>
      <c r="G96" s="18">
        <v>7</v>
      </c>
      <c r="H96" s="2">
        <v>12</v>
      </c>
      <c r="I96" s="18">
        <v>28</v>
      </c>
      <c r="J96" s="7">
        <f>H96+I96+IF(E96="Y",7,0)+IF(AND(D96="Y",F96="Y"),IF(OR(A96="I",A96="M+I",A96="U+I"),4,5),0)</f>
        <v>40</v>
      </c>
    </row>
    <row r="97" spans="1:10">
      <c r="A97" s="6" t="s">
        <v>26</v>
      </c>
      <c r="B97" s="2" t="s">
        <v>11</v>
      </c>
      <c r="C97" s="2" t="s">
        <v>19</v>
      </c>
      <c r="D97" s="2" t="s">
        <v>21</v>
      </c>
      <c r="E97" s="2" t="s">
        <v>9</v>
      </c>
      <c r="F97" s="2" t="s">
        <v>9</v>
      </c>
      <c r="G97" s="18">
        <v>7</v>
      </c>
      <c r="H97" s="2">
        <v>8</v>
      </c>
      <c r="I97" s="18">
        <v>24</v>
      </c>
      <c r="J97" s="7">
        <f>H97+I97+IF(E97="Y",7,0)+IF(AND(D97="Y",F97="Y"),IF(OR(A97="I",A97="M+I",A97="U+I"),4,5),0)</f>
        <v>32</v>
      </c>
    </row>
    <row r="98" spans="1:10">
      <c r="A98" s="6" t="s">
        <v>26</v>
      </c>
      <c r="B98" s="2" t="s">
        <v>11</v>
      </c>
      <c r="C98" s="2" t="s">
        <v>20</v>
      </c>
      <c r="D98" s="2" t="s">
        <v>21</v>
      </c>
      <c r="E98" s="2" t="s">
        <v>9</v>
      </c>
      <c r="F98" s="2" t="s">
        <v>9</v>
      </c>
      <c r="G98" s="18">
        <v>6</v>
      </c>
      <c r="H98" s="2">
        <v>7</v>
      </c>
      <c r="I98" s="18">
        <v>24</v>
      </c>
      <c r="J98" s="7">
        <f>H98+I98+IF(E98="Y",7,0)+IF(AND(D98="Y",F98="Y"),IF(OR(A98="I",A98="M+I",A98="U+I"),4,5),0)</f>
        <v>31</v>
      </c>
    </row>
    <row r="99" spans="1:10">
      <c r="A99" s="6" t="s">
        <v>26</v>
      </c>
      <c r="B99" s="2" t="s">
        <v>12</v>
      </c>
      <c r="C99" s="2" t="s">
        <v>18</v>
      </c>
      <c r="D99" s="2" t="s">
        <v>21</v>
      </c>
      <c r="E99" s="2" t="s">
        <v>9</v>
      </c>
      <c r="F99" s="2" t="s">
        <v>9</v>
      </c>
      <c r="G99" s="18">
        <v>7</v>
      </c>
      <c r="H99" s="2">
        <v>8</v>
      </c>
      <c r="I99" s="18">
        <v>25</v>
      </c>
      <c r="J99" s="7">
        <f>H99+I99+IF(E99="Y",7,0)+IF(AND(D99="Y",F99="Y"),IF(OR(A99="I",A99="M+I",A99="U+I"),4,5),0)</f>
        <v>33</v>
      </c>
    </row>
    <row r="100" spans="1:10">
      <c r="A100" s="6" t="s">
        <v>26</v>
      </c>
      <c r="B100" s="2" t="s">
        <v>12</v>
      </c>
      <c r="C100" s="2" t="s">
        <v>19</v>
      </c>
      <c r="D100" s="2" t="s">
        <v>21</v>
      </c>
      <c r="E100" s="2" t="s">
        <v>9</v>
      </c>
      <c r="F100" s="2" t="s">
        <v>9</v>
      </c>
      <c r="G100" s="18">
        <v>7</v>
      </c>
      <c r="H100" s="2">
        <v>4</v>
      </c>
      <c r="I100" s="18">
        <v>21</v>
      </c>
      <c r="J100" s="7">
        <f>H100+I100+IF(E100="Y",7,0)+IF(AND(D100="Y",F100="Y"),IF(OR(A100="I",A100="M+I",A100="U+I"),4,5),0)</f>
        <v>25</v>
      </c>
    </row>
    <row r="101" spans="1:10" ht="17.25" thickBot="1">
      <c r="A101" s="8" t="s">
        <v>26</v>
      </c>
      <c r="B101" s="9" t="s">
        <v>12</v>
      </c>
      <c r="C101" s="9" t="s">
        <v>20</v>
      </c>
      <c r="D101" s="9" t="s">
        <v>21</v>
      </c>
      <c r="E101" s="9" t="s">
        <v>9</v>
      </c>
      <c r="F101" s="9" t="s">
        <v>9</v>
      </c>
      <c r="G101" s="22">
        <v>6</v>
      </c>
      <c r="H101" s="2">
        <v>3</v>
      </c>
      <c r="I101" s="22">
        <v>21</v>
      </c>
      <c r="J101" s="10">
        <f>H101+I101+IF(E101="Y",7,0)+IF(AND(D101="Y",F101="Y"),IF(OR(A101="I",A101="M+I",A101="U+I"),4,5),0)</f>
        <v>24</v>
      </c>
    </row>
    <row r="102" spans="1:10">
      <c r="A102" s="14" t="s">
        <v>28</v>
      </c>
      <c r="B102" s="15" t="s">
        <v>10</v>
      </c>
      <c r="C102" s="15" t="s">
        <v>18</v>
      </c>
      <c r="D102" s="15" t="s">
        <v>21</v>
      </c>
      <c r="E102" s="15" t="s">
        <v>9</v>
      </c>
      <c r="F102" s="15" t="s">
        <v>9</v>
      </c>
      <c r="G102" s="21">
        <v>10</v>
      </c>
      <c r="H102" s="4">
        <v>16</v>
      </c>
      <c r="I102" s="21">
        <v>34</v>
      </c>
      <c r="J102" s="16">
        <f>H102+I102+IF(E102="Y",7,0)+IF(AND(D102="Y",F102="Y"),IF(OR(A102="I",A102="M+I",A102="U+I"),4,5),0)</f>
        <v>50</v>
      </c>
    </row>
    <row r="103" spans="1:10">
      <c r="A103" s="6" t="s">
        <v>28</v>
      </c>
      <c r="B103" s="2" t="s">
        <v>10</v>
      </c>
      <c r="C103" s="2" t="s">
        <v>19</v>
      </c>
      <c r="D103" s="2" t="s">
        <v>21</v>
      </c>
      <c r="E103" s="2" t="s">
        <v>9</v>
      </c>
      <c r="F103" s="2" t="s">
        <v>9</v>
      </c>
      <c r="G103" s="18">
        <v>10</v>
      </c>
      <c r="H103" s="2">
        <v>12</v>
      </c>
      <c r="I103" s="18">
        <v>24</v>
      </c>
      <c r="J103" s="7">
        <f>H103+I103+IF(E103="Y",7,0)+IF(AND(D103="Y",F103="Y"),IF(OR(A103="I",A103="M+I",A103="U+I"),4,5),0)</f>
        <v>36</v>
      </c>
    </row>
    <row r="104" spans="1:10">
      <c r="A104" s="6" t="s">
        <v>28</v>
      </c>
      <c r="B104" s="2" t="s">
        <v>10</v>
      </c>
      <c r="C104" s="2" t="s">
        <v>20</v>
      </c>
      <c r="D104" s="2" t="s">
        <v>21</v>
      </c>
      <c r="E104" s="2" t="s">
        <v>9</v>
      </c>
      <c r="F104" s="2" t="s">
        <v>9</v>
      </c>
      <c r="G104" s="18">
        <v>9</v>
      </c>
      <c r="H104" s="2">
        <v>11</v>
      </c>
      <c r="I104" s="18">
        <v>24</v>
      </c>
      <c r="J104" s="7">
        <f>H104+I104+IF(E104="Y",7,0)+IF(AND(D104="Y",F104="Y"),IF(OR(A104="I",A104="M+I",A104="U+I"),4,5),0)</f>
        <v>35</v>
      </c>
    </row>
    <row r="105" spans="1:10">
      <c r="A105" s="6" t="s">
        <v>28</v>
      </c>
      <c r="B105" s="2" t="s">
        <v>11</v>
      </c>
      <c r="C105" s="2" t="s">
        <v>18</v>
      </c>
      <c r="D105" s="2" t="s">
        <v>21</v>
      </c>
      <c r="E105" s="2" t="s">
        <v>9</v>
      </c>
      <c r="F105" s="2" t="s">
        <v>9</v>
      </c>
      <c r="G105" s="18">
        <v>7</v>
      </c>
      <c r="H105" s="2">
        <v>15</v>
      </c>
      <c r="I105" s="18">
        <v>30</v>
      </c>
      <c r="J105" s="7">
        <f>H105+I105+IF(E105="Y",7,0)+IF(AND(D105="Y",F105="Y"),IF(OR(A105="I",A105="M+I",A105="U+I"),4,5),0)</f>
        <v>45</v>
      </c>
    </row>
    <row r="106" spans="1:10">
      <c r="A106" s="6" t="s">
        <v>28</v>
      </c>
      <c r="B106" s="2" t="s">
        <v>11</v>
      </c>
      <c r="C106" s="2" t="s">
        <v>19</v>
      </c>
      <c r="D106" s="2" t="s">
        <v>21</v>
      </c>
      <c r="E106" s="2" t="s">
        <v>9</v>
      </c>
      <c r="F106" s="2" t="s">
        <v>9</v>
      </c>
      <c r="G106" s="18">
        <v>7</v>
      </c>
      <c r="H106" s="2">
        <v>11</v>
      </c>
      <c r="I106" s="18">
        <v>20</v>
      </c>
      <c r="J106" s="7">
        <f>H106+I106+IF(E106="Y",7,0)+IF(AND(D106="Y",F106="Y"),IF(OR(A106="I",A106="M+I",A106="U+I"),4,5),0)</f>
        <v>31</v>
      </c>
    </row>
    <row r="107" spans="1:10">
      <c r="A107" s="6" t="s">
        <v>28</v>
      </c>
      <c r="B107" s="2" t="s">
        <v>11</v>
      </c>
      <c r="C107" s="2" t="s">
        <v>20</v>
      </c>
      <c r="D107" s="2" t="s">
        <v>21</v>
      </c>
      <c r="E107" s="2" t="s">
        <v>9</v>
      </c>
      <c r="F107" s="2" t="s">
        <v>9</v>
      </c>
      <c r="G107" s="18">
        <v>6</v>
      </c>
      <c r="H107" s="2">
        <v>9</v>
      </c>
      <c r="I107" s="18">
        <v>20</v>
      </c>
      <c r="J107" s="7">
        <f>H107+I107+IF(E107="Y",7,0)+IF(AND(D107="Y",F107="Y"),IF(OR(A107="I",A107="M+I",A107="U+I"),4,5),0)</f>
        <v>29</v>
      </c>
    </row>
    <row r="108" spans="1:10">
      <c r="A108" s="6" t="s">
        <v>28</v>
      </c>
      <c r="B108" s="2" t="s">
        <v>12</v>
      </c>
      <c r="C108" s="2" t="s">
        <v>18</v>
      </c>
      <c r="D108" s="2" t="s">
        <v>21</v>
      </c>
      <c r="E108" s="2" t="s">
        <v>9</v>
      </c>
      <c r="F108" s="2" t="s">
        <v>9</v>
      </c>
      <c r="G108" s="18">
        <v>7</v>
      </c>
      <c r="H108" s="2">
        <v>10</v>
      </c>
      <c r="I108" s="18">
        <v>21</v>
      </c>
      <c r="J108" s="7">
        <f>H108+I108+IF(E108="Y",7,0)+IF(AND(D108="Y",F108="Y"),IF(OR(A108="I",A108="M+I",A108="U+I"),4,5),0)</f>
        <v>31</v>
      </c>
    </row>
    <row r="109" spans="1:10">
      <c r="A109" s="6" t="s">
        <v>28</v>
      </c>
      <c r="B109" s="2" t="s">
        <v>12</v>
      </c>
      <c r="C109" s="2" t="s">
        <v>19</v>
      </c>
      <c r="D109" s="2" t="s">
        <v>21</v>
      </c>
      <c r="E109" s="2" t="s">
        <v>9</v>
      </c>
      <c r="F109" s="2" t="s">
        <v>9</v>
      </c>
      <c r="G109" s="18">
        <v>7</v>
      </c>
      <c r="H109" s="2">
        <v>6</v>
      </c>
      <c r="I109" s="18">
        <v>17</v>
      </c>
      <c r="J109" s="7">
        <f>H109+I109+IF(E109="Y",7,0)+IF(AND(D109="Y",F109="Y"),IF(OR(A109="I",A109="M+I",A109="U+I"),4,5),0)</f>
        <v>23</v>
      </c>
    </row>
    <row r="110" spans="1:10" ht="17.25" thickBot="1">
      <c r="A110" s="6" t="s">
        <v>28</v>
      </c>
      <c r="B110" s="2" t="s">
        <v>12</v>
      </c>
      <c r="C110" s="2" t="s">
        <v>20</v>
      </c>
      <c r="D110" s="2" t="s">
        <v>21</v>
      </c>
      <c r="E110" s="2" t="s">
        <v>9</v>
      </c>
      <c r="F110" s="2" t="s">
        <v>9</v>
      </c>
      <c r="G110" s="22">
        <v>6</v>
      </c>
      <c r="H110" s="2">
        <v>4</v>
      </c>
      <c r="I110" s="22">
        <v>17</v>
      </c>
      <c r="J110" s="7">
        <f>H110+I110+IF(E110="Y",7,0)+IF(AND(D110="Y",F110="Y"),IF(OR(A110="I",A110="M+I",A110="U+I"),4,5),0)</f>
        <v>21</v>
      </c>
    </row>
    <row r="111" spans="1:10">
      <c r="A111" s="6" t="s">
        <v>28</v>
      </c>
      <c r="B111" s="2" t="s">
        <v>10</v>
      </c>
      <c r="C111" s="2" t="s">
        <v>18</v>
      </c>
      <c r="D111" s="2" t="s">
        <v>21</v>
      </c>
      <c r="E111" s="2" t="s">
        <v>22</v>
      </c>
      <c r="F111" s="2" t="s">
        <v>9</v>
      </c>
      <c r="G111" s="21">
        <v>10</v>
      </c>
      <c r="H111" s="4">
        <v>16</v>
      </c>
      <c r="I111" s="21">
        <v>34</v>
      </c>
      <c r="J111" s="7">
        <f>H111+I111+IF(E111="Y",7,0)+IF(AND(D111="Y",F111="Y"),IF(OR(A111="I",A111="M+I",A111="U+I"),4,5),0)</f>
        <v>57</v>
      </c>
    </row>
    <row r="112" spans="1:10">
      <c r="A112" s="6" t="s">
        <v>28</v>
      </c>
      <c r="B112" s="2" t="s">
        <v>10</v>
      </c>
      <c r="C112" s="2" t="s">
        <v>19</v>
      </c>
      <c r="D112" s="2" t="s">
        <v>21</v>
      </c>
      <c r="E112" s="2" t="s">
        <v>22</v>
      </c>
      <c r="F112" s="2" t="s">
        <v>9</v>
      </c>
      <c r="G112" s="18">
        <v>10</v>
      </c>
      <c r="H112" s="2">
        <v>12</v>
      </c>
      <c r="I112" s="18">
        <v>24</v>
      </c>
      <c r="J112" s="7">
        <f>H112+I112+IF(E112="Y",7,0)+IF(AND(D112="Y",F112="Y"),IF(OR(A112="I",A112="M+I",A112="U+I"),4,5),0)</f>
        <v>43</v>
      </c>
    </row>
    <row r="113" spans="1:10">
      <c r="A113" s="6" t="s">
        <v>28</v>
      </c>
      <c r="B113" s="2" t="s">
        <v>10</v>
      </c>
      <c r="C113" s="2" t="s">
        <v>20</v>
      </c>
      <c r="D113" s="2" t="s">
        <v>21</v>
      </c>
      <c r="E113" s="2" t="s">
        <v>22</v>
      </c>
      <c r="F113" s="2" t="s">
        <v>9</v>
      </c>
      <c r="G113" s="18">
        <v>9</v>
      </c>
      <c r="H113" s="2">
        <v>11</v>
      </c>
      <c r="I113" s="18">
        <v>24</v>
      </c>
      <c r="J113" s="7">
        <f>H113+I113+IF(E113="Y",7,0)+IF(AND(D113="Y",F113="Y"),IF(OR(A113="I",A113="M+I",A113="U+I"),4,5),0)</f>
        <v>42</v>
      </c>
    </row>
    <row r="114" spans="1:10">
      <c r="A114" s="6" t="s">
        <v>28</v>
      </c>
      <c r="B114" s="2" t="s">
        <v>11</v>
      </c>
      <c r="C114" s="2" t="s">
        <v>18</v>
      </c>
      <c r="D114" s="2" t="s">
        <v>21</v>
      </c>
      <c r="E114" s="2" t="s">
        <v>22</v>
      </c>
      <c r="F114" s="2" t="s">
        <v>9</v>
      </c>
      <c r="G114" s="18">
        <v>7</v>
      </c>
      <c r="H114" s="2">
        <v>15</v>
      </c>
      <c r="I114" s="18">
        <v>30</v>
      </c>
      <c r="J114" s="7">
        <f>H114+I114+IF(E114="Y",7,0)+IF(AND(D114="Y",F114="Y"),IF(OR(A114="I",A114="M+I",A114="U+I"),4,5),0)</f>
        <v>52</v>
      </c>
    </row>
    <row r="115" spans="1:10">
      <c r="A115" s="6" t="s">
        <v>28</v>
      </c>
      <c r="B115" s="2" t="s">
        <v>11</v>
      </c>
      <c r="C115" s="2" t="s">
        <v>19</v>
      </c>
      <c r="D115" s="2" t="s">
        <v>21</v>
      </c>
      <c r="E115" s="2" t="s">
        <v>22</v>
      </c>
      <c r="F115" s="2" t="s">
        <v>9</v>
      </c>
      <c r="G115" s="18">
        <v>7</v>
      </c>
      <c r="H115" s="2">
        <v>11</v>
      </c>
      <c r="I115" s="18">
        <v>20</v>
      </c>
      <c r="J115" s="7">
        <f>H115+I115+IF(E115="Y",7,0)+IF(AND(D115="Y",F115="Y"),IF(OR(A115="I",A115="M+I",A115="U+I"),4,5),0)</f>
        <v>38</v>
      </c>
    </row>
    <row r="116" spans="1:10">
      <c r="A116" s="6" t="s">
        <v>28</v>
      </c>
      <c r="B116" s="2" t="s">
        <v>11</v>
      </c>
      <c r="C116" s="2" t="s">
        <v>20</v>
      </c>
      <c r="D116" s="2" t="s">
        <v>21</v>
      </c>
      <c r="E116" s="2" t="s">
        <v>22</v>
      </c>
      <c r="F116" s="2" t="s">
        <v>9</v>
      </c>
      <c r="G116" s="18">
        <v>6</v>
      </c>
      <c r="H116" s="2">
        <v>9</v>
      </c>
      <c r="I116" s="18">
        <v>20</v>
      </c>
      <c r="J116" s="7">
        <f>H116+I116+IF(E116="Y",7,0)+IF(AND(D116="Y",F116="Y"),IF(OR(A116="I",A116="M+I",A116="U+I"),4,5),0)</f>
        <v>36</v>
      </c>
    </row>
    <row r="117" spans="1:10">
      <c r="A117" s="6" t="s">
        <v>28</v>
      </c>
      <c r="B117" s="2" t="s">
        <v>12</v>
      </c>
      <c r="C117" s="2" t="s">
        <v>18</v>
      </c>
      <c r="D117" s="2" t="s">
        <v>21</v>
      </c>
      <c r="E117" s="2" t="s">
        <v>22</v>
      </c>
      <c r="F117" s="2" t="s">
        <v>9</v>
      </c>
      <c r="G117" s="18">
        <v>7</v>
      </c>
      <c r="H117" s="2">
        <v>10</v>
      </c>
      <c r="I117" s="18">
        <v>21</v>
      </c>
      <c r="J117" s="7">
        <f>H117+I117+IF(E117="Y",7,0)+IF(AND(D117="Y",F117="Y"),IF(OR(A117="I",A117="M+I",A117="U+I"),4,5),0)</f>
        <v>38</v>
      </c>
    </row>
    <row r="118" spans="1:10">
      <c r="A118" s="6" t="s">
        <v>28</v>
      </c>
      <c r="B118" s="2" t="s">
        <v>12</v>
      </c>
      <c r="C118" s="2" t="s">
        <v>19</v>
      </c>
      <c r="D118" s="2" t="s">
        <v>21</v>
      </c>
      <c r="E118" s="2" t="s">
        <v>22</v>
      </c>
      <c r="F118" s="2" t="s">
        <v>9</v>
      </c>
      <c r="G118" s="18">
        <v>7</v>
      </c>
      <c r="H118" s="2">
        <v>6</v>
      </c>
      <c r="I118" s="18">
        <v>17</v>
      </c>
      <c r="J118" s="7">
        <f>H118+I118+IF(E118="Y",7,0)+IF(AND(D118="Y",F118="Y"),IF(OR(A118="I",A118="M+I",A118="U+I"),4,5),0)</f>
        <v>30</v>
      </c>
    </row>
    <row r="119" spans="1:10" ht="17.25" thickBot="1">
      <c r="A119" s="6" t="s">
        <v>28</v>
      </c>
      <c r="B119" s="2" t="s">
        <v>12</v>
      </c>
      <c r="C119" s="2" t="s">
        <v>20</v>
      </c>
      <c r="D119" s="2" t="s">
        <v>21</v>
      </c>
      <c r="E119" s="2" t="s">
        <v>22</v>
      </c>
      <c r="F119" s="2" t="s">
        <v>9</v>
      </c>
      <c r="G119" s="22">
        <v>6</v>
      </c>
      <c r="H119" s="2">
        <v>4</v>
      </c>
      <c r="I119" s="22">
        <v>17</v>
      </c>
      <c r="J119" s="7">
        <f>H119+I119+IF(E119="Y",7,0)+IF(AND(D119="Y",F119="Y"),IF(OR(A119="I",A119="M+I",A119="U+I"),4,5),0)</f>
        <v>28</v>
      </c>
    </row>
    <row r="120" spans="1:10">
      <c r="A120" s="6" t="s">
        <v>28</v>
      </c>
      <c r="B120" s="2" t="s">
        <v>10</v>
      </c>
      <c r="C120" s="2" t="s">
        <v>18</v>
      </c>
      <c r="D120" s="2" t="s">
        <v>21</v>
      </c>
      <c r="E120" s="2" t="s">
        <v>22</v>
      </c>
      <c r="F120" s="2" t="s">
        <v>22</v>
      </c>
      <c r="G120" s="21">
        <v>10</v>
      </c>
      <c r="H120" s="4">
        <v>16</v>
      </c>
      <c r="I120" s="21">
        <v>34</v>
      </c>
      <c r="J120" s="7">
        <f>H120+I120+IF(E120="Y",7,0)+IF(AND(D120="Y",F120="Y"),IF(OR(A120="I",A120="M+I",A120="U+I"),4,5),0)</f>
        <v>62</v>
      </c>
    </row>
    <row r="121" spans="1:10">
      <c r="A121" s="6" t="s">
        <v>28</v>
      </c>
      <c r="B121" s="2" t="s">
        <v>10</v>
      </c>
      <c r="C121" s="2" t="s">
        <v>19</v>
      </c>
      <c r="D121" s="2" t="s">
        <v>21</v>
      </c>
      <c r="E121" s="2" t="s">
        <v>22</v>
      </c>
      <c r="F121" s="2" t="s">
        <v>22</v>
      </c>
      <c r="G121" s="18">
        <v>10</v>
      </c>
      <c r="H121" s="2">
        <v>12</v>
      </c>
      <c r="I121" s="18">
        <v>24</v>
      </c>
      <c r="J121" s="7">
        <f>H121+I121+IF(E121="Y",7,0)+IF(AND(D121="Y",F121="Y"),IF(OR(A121="I",A121="M+I",A121="U+I"),4,5),0)</f>
        <v>48</v>
      </c>
    </row>
    <row r="122" spans="1:10">
      <c r="A122" s="6" t="s">
        <v>28</v>
      </c>
      <c r="B122" s="2" t="s">
        <v>10</v>
      </c>
      <c r="C122" s="2" t="s">
        <v>20</v>
      </c>
      <c r="D122" s="2" t="s">
        <v>21</v>
      </c>
      <c r="E122" s="2" t="s">
        <v>22</v>
      </c>
      <c r="F122" s="2" t="s">
        <v>22</v>
      </c>
      <c r="G122" s="18">
        <v>9</v>
      </c>
      <c r="H122" s="2">
        <v>11</v>
      </c>
      <c r="I122" s="18">
        <v>24</v>
      </c>
      <c r="J122" s="7">
        <f>H122+I122+IF(E122="Y",7,0)+IF(AND(D122="Y",F122="Y"),IF(OR(A122="I",A122="M+I",A122="U+I"),4,5),0)</f>
        <v>47</v>
      </c>
    </row>
    <row r="123" spans="1:10">
      <c r="A123" s="6" t="s">
        <v>28</v>
      </c>
      <c r="B123" s="2" t="s">
        <v>11</v>
      </c>
      <c r="C123" s="2" t="s">
        <v>18</v>
      </c>
      <c r="D123" s="2" t="s">
        <v>21</v>
      </c>
      <c r="E123" s="2" t="s">
        <v>22</v>
      </c>
      <c r="F123" s="2" t="s">
        <v>22</v>
      </c>
      <c r="G123" s="18">
        <v>7</v>
      </c>
      <c r="H123" s="2">
        <v>15</v>
      </c>
      <c r="I123" s="18">
        <v>30</v>
      </c>
      <c r="J123" s="7">
        <f>H123+I123+IF(E123="Y",7,0)+IF(AND(D123="Y",F123="Y"),IF(OR(A123="I",A123="M+I",A123="U+I"),4,5),0)</f>
        <v>57</v>
      </c>
    </row>
    <row r="124" spans="1:10">
      <c r="A124" s="6" t="s">
        <v>28</v>
      </c>
      <c r="B124" s="2" t="s">
        <v>11</v>
      </c>
      <c r="C124" s="2" t="s">
        <v>19</v>
      </c>
      <c r="D124" s="2" t="s">
        <v>21</v>
      </c>
      <c r="E124" s="2" t="s">
        <v>22</v>
      </c>
      <c r="F124" s="2" t="s">
        <v>22</v>
      </c>
      <c r="G124" s="18">
        <v>7</v>
      </c>
      <c r="H124" s="2">
        <v>11</v>
      </c>
      <c r="I124" s="18">
        <v>20</v>
      </c>
      <c r="J124" s="7">
        <f>H124+I124+IF(E124="Y",7,0)+IF(AND(D124="Y",F124="Y"),IF(OR(A124="I",A124="M+I",A124="U+I"),4,5),0)</f>
        <v>43</v>
      </c>
    </row>
    <row r="125" spans="1:10">
      <c r="A125" s="6" t="s">
        <v>28</v>
      </c>
      <c r="B125" s="2" t="s">
        <v>11</v>
      </c>
      <c r="C125" s="2" t="s">
        <v>20</v>
      </c>
      <c r="D125" s="2" t="s">
        <v>21</v>
      </c>
      <c r="E125" s="2" t="s">
        <v>22</v>
      </c>
      <c r="F125" s="2" t="s">
        <v>22</v>
      </c>
      <c r="G125" s="18">
        <v>6</v>
      </c>
      <c r="H125" s="2">
        <v>9</v>
      </c>
      <c r="I125" s="18">
        <v>20</v>
      </c>
      <c r="J125" s="7">
        <f>H125+I125+IF(E125="Y",7,0)+IF(AND(D125="Y",F125="Y"),IF(OR(A125="I",A125="M+I",A125="U+I"),4,5),0)</f>
        <v>41</v>
      </c>
    </row>
    <row r="126" spans="1:10">
      <c r="A126" s="6" t="s">
        <v>28</v>
      </c>
      <c r="B126" s="2" t="s">
        <v>12</v>
      </c>
      <c r="C126" s="2" t="s">
        <v>18</v>
      </c>
      <c r="D126" s="2" t="s">
        <v>21</v>
      </c>
      <c r="E126" s="2" t="s">
        <v>22</v>
      </c>
      <c r="F126" s="2" t="s">
        <v>22</v>
      </c>
      <c r="G126" s="18">
        <v>7</v>
      </c>
      <c r="H126" s="2">
        <v>10</v>
      </c>
      <c r="I126" s="18">
        <v>21</v>
      </c>
      <c r="J126" s="7">
        <f>H126+I126+IF(E126="Y",7,0)+IF(AND(D126="Y",F126="Y"),IF(OR(A126="I",A126="M+I",A126="U+I"),4,5),0)</f>
        <v>43</v>
      </c>
    </row>
    <row r="127" spans="1:10">
      <c r="A127" s="6" t="s">
        <v>28</v>
      </c>
      <c r="B127" s="2" t="s">
        <v>12</v>
      </c>
      <c r="C127" s="2" t="s">
        <v>19</v>
      </c>
      <c r="D127" s="2" t="s">
        <v>21</v>
      </c>
      <c r="E127" s="2" t="s">
        <v>22</v>
      </c>
      <c r="F127" s="2" t="s">
        <v>22</v>
      </c>
      <c r="G127" s="18">
        <v>7</v>
      </c>
      <c r="H127" s="2">
        <v>6</v>
      </c>
      <c r="I127" s="18">
        <v>17</v>
      </c>
      <c r="J127" s="7">
        <f>H127+I127+IF(E127="Y",7,0)+IF(AND(D127="Y",F127="Y"),IF(OR(A127="I",A127="M+I",A127="U+I"),4,5),0)</f>
        <v>35</v>
      </c>
    </row>
    <row r="128" spans="1:10" ht="17.25" thickBot="1">
      <c r="A128" s="6" t="s">
        <v>28</v>
      </c>
      <c r="B128" s="2" t="s">
        <v>12</v>
      </c>
      <c r="C128" s="2" t="s">
        <v>20</v>
      </c>
      <c r="D128" s="2" t="s">
        <v>21</v>
      </c>
      <c r="E128" s="2" t="s">
        <v>22</v>
      </c>
      <c r="F128" s="2" t="s">
        <v>22</v>
      </c>
      <c r="G128" s="22">
        <v>6</v>
      </c>
      <c r="H128" s="2">
        <v>4</v>
      </c>
      <c r="I128" s="22">
        <v>17</v>
      </c>
      <c r="J128" s="7">
        <f>H128+I128+IF(E128="Y",7,0)+IF(AND(D128="Y",F128="Y"),IF(OR(A128="I",A128="M+I",A128="U+I"),4,5),0)</f>
        <v>33</v>
      </c>
    </row>
    <row r="129" spans="1:11">
      <c r="A129" s="6" t="s">
        <v>28</v>
      </c>
      <c r="B129" s="2" t="s">
        <v>10</v>
      </c>
      <c r="C129" s="2" t="s">
        <v>18</v>
      </c>
      <c r="D129" s="2" t="s">
        <v>21</v>
      </c>
      <c r="E129" s="2" t="s">
        <v>9</v>
      </c>
      <c r="F129" s="2" t="s">
        <v>22</v>
      </c>
      <c r="G129" s="21">
        <v>10</v>
      </c>
      <c r="H129" s="4">
        <v>16</v>
      </c>
      <c r="I129" s="21">
        <v>34</v>
      </c>
      <c r="J129" s="7">
        <f>H129+I129+IF(E129="Y",7,0)+IF(AND(D129="Y",F129="Y"),IF(OR(A129="I",A129="M+I",A129="U+I"),4,5),0)</f>
        <v>55</v>
      </c>
    </row>
    <row r="130" spans="1:11">
      <c r="A130" s="6" t="s">
        <v>28</v>
      </c>
      <c r="B130" s="2" t="s">
        <v>10</v>
      </c>
      <c r="C130" s="2" t="s">
        <v>19</v>
      </c>
      <c r="D130" s="2" t="s">
        <v>21</v>
      </c>
      <c r="E130" s="2" t="s">
        <v>9</v>
      </c>
      <c r="F130" s="2" t="s">
        <v>22</v>
      </c>
      <c r="G130" s="18">
        <v>10</v>
      </c>
      <c r="H130" s="2">
        <v>12</v>
      </c>
      <c r="I130" s="18">
        <v>24</v>
      </c>
      <c r="J130" s="7">
        <f>H130+I130+IF(E130="Y",7,0)+IF(AND(D130="Y",F130="Y"),IF(OR(A130="I",A130="M+I",A130="U+I"),4,5),0)</f>
        <v>41</v>
      </c>
    </row>
    <row r="131" spans="1:11">
      <c r="A131" s="6" t="s">
        <v>28</v>
      </c>
      <c r="B131" s="2" t="s">
        <v>10</v>
      </c>
      <c r="C131" s="2" t="s">
        <v>20</v>
      </c>
      <c r="D131" s="2" t="s">
        <v>21</v>
      </c>
      <c r="E131" s="2" t="s">
        <v>9</v>
      </c>
      <c r="F131" s="2" t="s">
        <v>22</v>
      </c>
      <c r="G131" s="18">
        <v>9</v>
      </c>
      <c r="H131" s="2">
        <v>11</v>
      </c>
      <c r="I131" s="18">
        <v>24</v>
      </c>
      <c r="J131" s="7">
        <f>H131+I131+IF(E131="Y",7,0)+IF(AND(D131="Y",F131="Y"),IF(OR(A131="I",A131="M+I",A131="U+I"),4,5),0)</f>
        <v>40</v>
      </c>
    </row>
    <row r="132" spans="1:11">
      <c r="A132" s="6" t="s">
        <v>28</v>
      </c>
      <c r="B132" s="2" t="s">
        <v>11</v>
      </c>
      <c r="C132" s="2" t="s">
        <v>18</v>
      </c>
      <c r="D132" s="2" t="s">
        <v>21</v>
      </c>
      <c r="E132" s="2" t="s">
        <v>9</v>
      </c>
      <c r="F132" s="2" t="s">
        <v>22</v>
      </c>
      <c r="G132" s="18">
        <v>7</v>
      </c>
      <c r="H132" s="2">
        <v>15</v>
      </c>
      <c r="I132" s="18">
        <v>30</v>
      </c>
      <c r="J132" s="7">
        <f>H132+I132+IF(E132="Y",7,0)+IF(AND(D132="Y",F132="Y"),IF(OR(A132="I",A132="M+I",A132="U+I"),4,5),0)</f>
        <v>50</v>
      </c>
    </row>
    <row r="133" spans="1:11">
      <c r="A133" s="6" t="s">
        <v>28</v>
      </c>
      <c r="B133" s="2" t="s">
        <v>11</v>
      </c>
      <c r="C133" s="2" t="s">
        <v>19</v>
      </c>
      <c r="D133" s="2" t="s">
        <v>21</v>
      </c>
      <c r="E133" s="2" t="s">
        <v>9</v>
      </c>
      <c r="F133" s="2" t="s">
        <v>22</v>
      </c>
      <c r="G133" s="18">
        <v>7</v>
      </c>
      <c r="H133" s="2">
        <v>11</v>
      </c>
      <c r="I133" s="18">
        <v>20</v>
      </c>
      <c r="J133" s="7">
        <f>H133+I133+IF(E133="Y",7,0)+IF(AND(D133="Y",F133="Y"),IF(OR(A133="I",A133="M+I",A133="U+I"),4,5),0)</f>
        <v>36</v>
      </c>
    </row>
    <row r="134" spans="1:11">
      <c r="A134" s="6" t="s">
        <v>28</v>
      </c>
      <c r="B134" s="2" t="s">
        <v>11</v>
      </c>
      <c r="C134" s="2" t="s">
        <v>20</v>
      </c>
      <c r="D134" s="2" t="s">
        <v>21</v>
      </c>
      <c r="E134" s="2" t="s">
        <v>9</v>
      </c>
      <c r="F134" s="2" t="s">
        <v>22</v>
      </c>
      <c r="G134" s="18">
        <v>6</v>
      </c>
      <c r="H134" s="2">
        <v>9</v>
      </c>
      <c r="I134" s="18">
        <v>20</v>
      </c>
      <c r="J134" s="7">
        <f>H134+I134+IF(E134="Y",7,0)+IF(AND(D134="Y",F134="Y"),IF(OR(A134="I",A134="M+I",A134="U+I"),4,5),0)</f>
        <v>34</v>
      </c>
    </row>
    <row r="135" spans="1:11">
      <c r="A135" s="6" t="s">
        <v>28</v>
      </c>
      <c r="B135" s="2" t="s">
        <v>12</v>
      </c>
      <c r="C135" s="2" t="s">
        <v>18</v>
      </c>
      <c r="D135" s="2" t="s">
        <v>21</v>
      </c>
      <c r="E135" s="2" t="s">
        <v>9</v>
      </c>
      <c r="F135" s="2" t="s">
        <v>22</v>
      </c>
      <c r="G135" s="18">
        <v>7</v>
      </c>
      <c r="H135" s="2">
        <v>10</v>
      </c>
      <c r="I135" s="18">
        <v>21</v>
      </c>
      <c r="J135" s="7">
        <f>H135+I135+IF(E135="Y",7,0)+IF(AND(D135="Y",F135="Y"),IF(OR(A135="I",A135="M+I",A135="U+I"),4,5),0)</f>
        <v>36</v>
      </c>
    </row>
    <row r="136" spans="1:11">
      <c r="A136" s="6" t="s">
        <v>28</v>
      </c>
      <c r="B136" s="2" t="s">
        <v>12</v>
      </c>
      <c r="C136" s="2" t="s">
        <v>19</v>
      </c>
      <c r="D136" s="2" t="s">
        <v>21</v>
      </c>
      <c r="E136" s="2" t="s">
        <v>9</v>
      </c>
      <c r="F136" s="2" t="s">
        <v>22</v>
      </c>
      <c r="G136" s="18">
        <v>7</v>
      </c>
      <c r="H136" s="2">
        <v>6</v>
      </c>
      <c r="I136" s="18">
        <v>17</v>
      </c>
      <c r="J136" s="7">
        <f>H136+I136+IF(E136="Y",7,0)+IF(AND(D136="Y",F136="Y"),IF(OR(A136="I",A136="M+I",A136="U+I"),4,5),0)</f>
        <v>28</v>
      </c>
    </row>
    <row r="137" spans="1:11" ht="17.25" thickBot="1">
      <c r="A137" s="8" t="s">
        <v>28</v>
      </c>
      <c r="B137" s="9" t="s">
        <v>12</v>
      </c>
      <c r="C137" s="9" t="s">
        <v>20</v>
      </c>
      <c r="D137" s="9" t="s">
        <v>21</v>
      </c>
      <c r="E137" s="9" t="s">
        <v>9</v>
      </c>
      <c r="F137" s="9" t="s">
        <v>22</v>
      </c>
      <c r="G137" s="22">
        <v>6</v>
      </c>
      <c r="H137" s="2">
        <v>4</v>
      </c>
      <c r="I137" s="22">
        <v>17</v>
      </c>
      <c r="J137" s="10">
        <f>H137+I137+IF(E137="Y",7,0)+IF(AND(D137="Y",F137="Y"),IF(OR(A137="I",A137="M+I",A137="U+I"),4,5),0)</f>
        <v>26</v>
      </c>
    </row>
    <row r="141" spans="1:11" s="24" customFormat="1" ht="28.5" customHeight="1">
      <c r="A141" s="31" t="s">
        <v>32</v>
      </c>
      <c r="B141" s="32"/>
      <c r="C141" s="33" t="s">
        <v>33</v>
      </c>
      <c r="D141" s="32"/>
      <c r="E141" s="33" t="s">
        <v>34</v>
      </c>
      <c r="F141" s="32"/>
      <c r="G141" s="25" t="s">
        <v>35</v>
      </c>
      <c r="H141" s="26" t="s">
        <v>36</v>
      </c>
      <c r="I141" s="25" t="s">
        <v>37</v>
      </c>
      <c r="J141" s="25" t="s">
        <v>38</v>
      </c>
      <c r="K141" s="27" t="s">
        <v>39</v>
      </c>
    </row>
    <row r="142" spans="1:11" s="24" customFormat="1" ht="53.25" customHeight="1" thickBot="1">
      <c r="A142" s="34" t="s">
        <v>42</v>
      </c>
      <c r="B142" s="35"/>
      <c r="C142" s="36" t="s">
        <v>40</v>
      </c>
      <c r="D142" s="35"/>
      <c r="E142" s="37" t="s">
        <v>41</v>
      </c>
      <c r="F142" s="38"/>
      <c r="G142" s="28">
        <v>13</v>
      </c>
      <c r="H142" s="28">
        <v>18</v>
      </c>
      <c r="I142" s="28">
        <v>23</v>
      </c>
      <c r="J142" s="28">
        <v>28</v>
      </c>
      <c r="K142" s="29">
        <v>28</v>
      </c>
    </row>
    <row r="143" spans="1:11" s="24" customFormat="1" ht="26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</row>
  </sheetData>
  <mergeCells count="6">
    <mergeCell ref="A141:B141"/>
    <mergeCell ref="C141:D141"/>
    <mergeCell ref="E141:F141"/>
    <mergeCell ref="A142:B142"/>
    <mergeCell ref="C142:D142"/>
    <mergeCell ref="E142:F142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유선정책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2026-01-31T13:56:08Z</dcterms:created>
  <dcterms:modified xsi:type="dcterms:W3CDTF">2026-02-10T12:30:50Z</dcterms:modified>
</cp:coreProperties>
</file>